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rial 1" sheetId="1" state="visible" r:id="rId3"/>
    <sheet name="Trial 2" sheetId="2" state="visible" r:id="rId4"/>
    <sheet name="Trial 3" sheetId="3" state="visible" r:id="rId5"/>
    <sheet name="Trial 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<sst xmlns="http://schemas.openxmlformats.org/spreadsheetml/2006/main" count="155" uniqueCount="26">
  <si>
    <t xml:space="preserve">Name:</t>
  </si>
  <si>
    <t xml:space="preserve">Delano Leslie</t>
  </si>
  <si>
    <t xml:space="preserve">Partner(s):</t>
  </si>
  <si>
    <t xml:space="preserve">Felipe, Xuan</t>
  </si>
  <si>
    <t xml:space="preserve">Date:</t>
  </si>
  <si>
    <t xml:space="preserve">Table #:</t>
  </si>
  <si>
    <t xml:space="preserve">Interference vs. Diffraction</t>
  </si>
  <si>
    <t xml:space="preserve">L   </t>
  </si>
  <si>
    <t xml:space="preserve">=</t>
  </si>
  <si>
    <t xml:space="preserve">  mm</t>
  </si>
  <si>
    <t xml:space="preserve">interference</t>
  </si>
  <si>
    <t xml:space="preserve">diffraction</t>
  </si>
  <si>
    <t xml:space="preserve">d =  </t>
  </si>
  <si>
    <t xml:space="preserve">um</t>
  </si>
  <si>
    <t xml:space="preserve">a =   </t>
  </si>
  <si>
    <t xml:space="preserve">Peak Distances</t>
  </si>
  <si>
    <t xml:space="preserve">Trough Distances</t>
  </si>
  <si>
    <t xml:space="preserve">m</t>
  </si>
  <si>
    <t xml:space="preserve">y (mm)</t>
  </si>
  <si>
    <t xml:space="preserve">Calculations</t>
  </si>
  <si>
    <t xml:space="preserve">Calculate the wavelength from the slope of the graph</t>
  </si>
  <si>
    <t xml:space="preserve">l</t>
  </si>
  <si>
    <t xml:space="preserve">d (slope)</t>
  </si>
  <si>
    <t xml:space="preserve">L</t>
  </si>
  <si>
    <t xml:space="preserve">a (slope)</t>
  </si>
  <si>
    <t xml:space="preserve">1070 mm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</si>
</sst>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i val="true"/>
      <sz val="11"/>
      <color rgb="FFFFFFFF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8"/>
      <color theme="1"/>
      <name val="Symbol"/>
      <family val="1"/>
      <charset val="2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Point Index v.s. Interference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733145847981"/>
          <c:y val="0.143471172372906"/>
          <c:w val="0.816889305523006"/>
          <c:h val="0.6690380910034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'Trial 1'!$E14</c:f>
              <c:strCache>
                <c:ptCount val="1"/>
                <c:pt idx="0">
                  <c:v>Peak Distances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1'!$C$15:$C$25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'Trial 1'!$E$15:$E$25</c:f>
              <c:numCache>
                <c:formatCode>0.0</c:formatCode>
                <c:ptCount val="11"/>
                <c:pt idx="1">
                  <c:v>3.5</c:v>
                </c:pt>
                <c:pt idx="2">
                  <c:v>6.5</c:v>
                </c:pt>
                <c:pt idx="3">
                  <c:v>9</c:v>
                </c:pt>
                <c:pt idx="4">
                  <c:v>11.5</c:v>
                </c:pt>
                <c:pt idx="5">
                  <c:v>14</c:v>
                </c:pt>
                <c:pt idx="6">
                  <c:v>17</c:v>
                </c:pt>
                <c:pt idx="7">
                  <c:v>20</c:v>
                </c:pt>
                <c:pt idx="8">
                  <c:v>22.5</c:v>
                </c:pt>
                <c:pt idx="9">
                  <c:v>25</c:v>
                </c:pt>
                <c:pt idx="10">
                  <c:v>27.5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'Trial 1'!$J$14</c:f>
              <c:strCache>
                <c:ptCount val="1"/>
                <c:pt idx="0">
                  <c:v>Trough Distances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1'!$H$15:$H$25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'Trial 1'!$J$15:$J$25</c:f>
              <c:numCache>
                <c:formatCode>0.00</c:formatCode>
                <c:ptCount val="11"/>
                <c:pt idx="1">
                  <c:v>17</c:v>
                </c:pt>
                <c:pt idx="2">
                  <c:v>35</c:v>
                </c:pt>
                <c:pt idx="3">
                  <c:v>71</c:v>
                </c:pt>
                <c:pt idx="4">
                  <c:v>89</c:v>
                </c:pt>
                <c:pt idx="5">
                  <c:v>107.5</c:v>
                </c:pt>
              </c:numCache>
            </c:numRef>
          </c:yVal>
          <c:smooth val="0"/>
        </c:ser>
        <c:axId val="8548259"/>
        <c:axId val="25931179"/>
      </c:scatterChart>
      <c:valAx>
        <c:axId val="85482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Index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5931179"/>
        <c:crosses val="autoZero"/>
        <c:crossBetween val="between"/>
      </c:valAx>
      <c:valAx>
        <c:axId val="25931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Peak Distance [y (mm)]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5482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Point Index v.s. Interference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875"/>
          <c:y val="0.143333333333333"/>
          <c:w val="0.816875"/>
          <c:h val="0.6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'Trial 2'!$E$14</c:f>
              <c:strCache>
                <c:ptCount val="1"/>
                <c:pt idx="0">
                  <c:v>Peak Distances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2'!$C$15:$C$25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'Trial 2'!$E$15:$E$25</c:f>
              <c:numCache>
                <c:formatCode>0.0</c:formatCode>
                <c:ptCount val="11"/>
                <c:pt idx="1">
                  <c:v>1</c:v>
                </c:pt>
                <c:pt idx="2">
                  <c:v>2.5</c:v>
                </c:pt>
                <c:pt idx="3">
                  <c:v>4</c:v>
                </c:pt>
                <c:pt idx="4">
                  <c:v>5.5</c:v>
                </c:pt>
                <c:pt idx="5">
                  <c:v>7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'Trial 2'!$J$14</c:f>
              <c:strCache>
                <c:ptCount val="1"/>
                <c:pt idx="0">
                  <c:v>Trough Distances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2'!$H$15:$H$25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'Trial 2'!$J$15:$J$25</c:f>
              <c:numCache>
                <c:formatCode>0.00</c:formatCode>
                <c:ptCount val="11"/>
                <c:pt idx="1">
                  <c:v>18</c:v>
                </c:pt>
                <c:pt idx="2">
                  <c:v>36</c:v>
                </c:pt>
                <c:pt idx="3">
                  <c:v>72</c:v>
                </c:pt>
                <c:pt idx="4">
                  <c:v>89</c:v>
                </c:pt>
                <c:pt idx="5">
                  <c:v>106</c:v>
                </c:pt>
              </c:numCache>
            </c:numRef>
          </c:yVal>
          <c:smooth val="0"/>
        </c:ser>
        <c:axId val="14350351"/>
        <c:axId val="43390564"/>
      </c:scatterChart>
      <c:valAx>
        <c:axId val="14350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Index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3390564"/>
        <c:crosses val="autoZero"/>
        <c:crossBetween val="between"/>
      </c:valAx>
      <c:valAx>
        <c:axId val="433905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Peak Distance [y (mm)]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43503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Point Index v.s. Interference Peak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875"/>
          <c:y val="0.143333333333333"/>
          <c:w val="0.816875"/>
          <c:h val="0.6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'Trial 3'!$E$14</c:f>
              <c:strCache>
                <c:ptCount val="1"/>
                <c:pt idx="0">
                  <c:v>Peak Distances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3'!$C$15:$C$25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'Trial 3'!$E$15:$E$25</c:f>
              <c:numCache>
                <c:formatCode>0.0</c:formatCode>
                <c:ptCount val="11"/>
                <c:pt idx="1">
                  <c:v>19</c:v>
                </c:pt>
                <c:pt idx="2">
                  <c:v>22</c:v>
                </c:pt>
                <c:pt idx="3">
                  <c:v>24.5</c:v>
                </c:pt>
                <c:pt idx="4">
                  <c:v>27.5</c:v>
                </c:pt>
                <c:pt idx="5">
                  <c:v>30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'Trial 3'!$J$14</c:f>
              <c:strCache>
                <c:ptCount val="1"/>
                <c:pt idx="0">
                  <c:v>Trough Distances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3'!$H$15:$H$25</c:f>
              <c:numCache>
                <c:formatCode>General</c:formatCode>
                <c:ptCount val="11"/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'Trial 3'!$J$15:$J$25</c:f>
              <c:numCache>
                <c:formatCode>0.00</c:formatCode>
                <c:ptCount val="11"/>
                <c:pt idx="1">
                  <c:v>9.5</c:v>
                </c:pt>
                <c:pt idx="2">
                  <c:v>28</c:v>
                </c:pt>
                <c:pt idx="3">
                  <c:v>37</c:v>
                </c:pt>
                <c:pt idx="4">
                  <c:v>45.5</c:v>
                </c:pt>
                <c:pt idx="5">
                  <c:v>54.5</c:v>
                </c:pt>
              </c:numCache>
            </c:numRef>
          </c:yVal>
          <c:smooth val="0"/>
        </c:ser>
        <c:axId val="69658246"/>
        <c:axId val="75003497"/>
      </c:scatterChart>
      <c:valAx>
        <c:axId val="696582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Index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5003497"/>
        <c:crosses val="autoZero"/>
        <c:crossBetween val="between"/>
      </c:valAx>
      <c:valAx>
        <c:axId val="750034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Peak Distance [y (mm)]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965824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Point Index v.s. Interference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875"/>
          <c:y val="0.143333333333333"/>
          <c:w val="0.816875"/>
          <c:h val="0.6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'Trial 4'!$E$14</c:f>
              <c:strCache>
                <c:ptCount val="1"/>
                <c:pt idx="0">
                  <c:v>Peak Distances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4'!$C$15:$C$25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'Trial 4'!$E$15:$E$25</c:f>
              <c:numCache>
                <c:formatCode>0.0</c:formatCode>
                <c:ptCount val="11"/>
                <c:pt idx="1">
                  <c:v>17.5</c:v>
                </c:pt>
                <c:pt idx="2">
                  <c:v>19</c:v>
                </c:pt>
                <c:pt idx="3">
                  <c:v>20.5</c:v>
                </c:pt>
                <c:pt idx="4">
                  <c:v>22</c:v>
                </c:pt>
                <c:pt idx="5">
                  <c:v>23.5</c:v>
                </c:pt>
                <c:pt idx="6">
                  <c:v>24.5</c:v>
                </c:pt>
                <c:pt idx="7">
                  <c:v>26</c:v>
                </c:pt>
                <c:pt idx="8">
                  <c:v>27.5</c:v>
                </c:pt>
                <c:pt idx="9">
                  <c:v>29</c:v>
                </c:pt>
                <c:pt idx="10">
                  <c:v>30.5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'Trial 4'!$J$14</c:f>
              <c:strCache>
                <c:ptCount val="1"/>
                <c:pt idx="0">
                  <c:v>Trough Distances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'Trial 4'!$H$15:$H$25</c:f>
              <c:numCache>
                <c:formatCode>General</c:formatCode>
                <c:ptCount val="11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'Trial 4'!$J$15:$J$25</c:f>
              <c:numCache>
                <c:formatCode>0.00</c:formatCode>
                <c:ptCount val="11"/>
                <c:pt idx="1">
                  <c:v>6.5</c:v>
                </c:pt>
                <c:pt idx="2">
                  <c:v>16</c:v>
                </c:pt>
                <c:pt idx="3">
                  <c:v>33.5</c:v>
                </c:pt>
                <c:pt idx="4">
                  <c:v>42</c:v>
                </c:pt>
                <c:pt idx="5">
                  <c:v>51</c:v>
                </c:pt>
              </c:numCache>
            </c:numRef>
          </c:yVal>
          <c:smooth val="0"/>
        </c:ser>
        <c:axId val="82536784"/>
        <c:axId val="65713600"/>
      </c:scatterChart>
      <c:valAx>
        <c:axId val="82536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Index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5713600"/>
        <c:crosses val="autoZero"/>
        <c:crossBetween val="between"/>
      </c:valAx>
      <c:valAx>
        <c:axId val="657136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Peak Distance [y (mm)]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253678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303480</xdr:colOff>
      <xdr:row>14</xdr:row>
      <xdr:rowOff>83880</xdr:rowOff>
    </xdr:from>
    <xdr:to>
      <xdr:col>22</xdr:col>
      <xdr:colOff>604080</xdr:colOff>
      <xdr:row>24</xdr:row>
      <xdr:rowOff>180360</xdr:rowOff>
    </xdr:to>
    <xdr:graphicFrame>
      <xdr:nvGraphicFramePr>
        <xdr:cNvPr id="0" name=""/>
        <xdr:cNvGraphicFramePr/>
      </xdr:nvGraphicFramePr>
      <xdr:xfrm>
        <a:off x="5469840" y="3217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273600</xdr:colOff>
      <xdr:row>14</xdr:row>
      <xdr:rowOff>83880</xdr:rowOff>
    </xdr:from>
    <xdr:to>
      <xdr:col>22</xdr:col>
      <xdr:colOff>574200</xdr:colOff>
      <xdr:row>24</xdr:row>
      <xdr:rowOff>180360</xdr:rowOff>
    </xdr:to>
    <xdr:graphicFrame>
      <xdr:nvGraphicFramePr>
        <xdr:cNvPr id="1" name=""/>
        <xdr:cNvGraphicFramePr/>
      </xdr:nvGraphicFramePr>
      <xdr:xfrm>
        <a:off x="5469840" y="3217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264240</xdr:colOff>
      <xdr:row>14</xdr:row>
      <xdr:rowOff>83880</xdr:rowOff>
    </xdr:from>
    <xdr:to>
      <xdr:col>22</xdr:col>
      <xdr:colOff>564480</xdr:colOff>
      <xdr:row>24</xdr:row>
      <xdr:rowOff>180360</xdr:rowOff>
    </xdr:to>
    <xdr:graphicFrame>
      <xdr:nvGraphicFramePr>
        <xdr:cNvPr id="2" name=""/>
        <xdr:cNvGraphicFramePr/>
      </xdr:nvGraphicFramePr>
      <xdr:xfrm>
        <a:off x="5469840" y="3217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362520</xdr:colOff>
      <xdr:row>14</xdr:row>
      <xdr:rowOff>83880</xdr:rowOff>
    </xdr:from>
    <xdr:to>
      <xdr:col>23</xdr:col>
      <xdr:colOff>51480</xdr:colOff>
      <xdr:row>24</xdr:row>
      <xdr:rowOff>180360</xdr:rowOff>
    </xdr:to>
    <xdr:graphicFrame>
      <xdr:nvGraphicFramePr>
        <xdr:cNvPr id="3" name=""/>
        <xdr:cNvGraphicFramePr/>
      </xdr:nvGraphicFramePr>
      <xdr:xfrm>
        <a:off x="5469840" y="3217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4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I14" activeCellId="0" sqref="I1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.82"/>
    <col collapsed="false" customWidth="true" hidden="false" outlineLevel="0" max="2" min="2" style="0" width="2"/>
    <col collapsed="false" customWidth="true" hidden="false" outlineLevel="0" max="3" min="3" style="1" width="10"/>
    <col collapsed="false" customWidth="true" hidden="false" outlineLevel="0" max="4" min="4" style="1" width="2.82"/>
    <col collapsed="false" customWidth="true" hidden="false" outlineLevel="0" max="5" min="5" style="1" width="10"/>
    <col collapsed="false" customWidth="true" hidden="false" outlineLevel="0" max="6" min="6" style="1" width="3.34"/>
    <col collapsed="false" customWidth="true" hidden="false" outlineLevel="0" max="7" min="7" style="1" width="7.93"/>
    <col collapsed="false" customWidth="true" hidden="false" outlineLevel="0" max="8" min="8" style="1" width="10"/>
    <col collapsed="false" customWidth="true" hidden="false" outlineLevel="0" max="9" min="9" style="1" width="2.82"/>
    <col collapsed="false" customWidth="true" hidden="false" outlineLevel="0" max="10" min="10" style="1" width="10"/>
    <col collapsed="false" customWidth="true" hidden="false" outlineLevel="0" max="11" min="11" style="0" width="4.31"/>
    <col collapsed="false" customWidth="true" hidden="false" outlineLevel="0" max="12" min="12" style="0" width="5.27"/>
    <col collapsed="false" customWidth="true" hidden="false" outlineLevel="0" max="13" min="13" style="0" width="2"/>
    <col collapsed="false" customWidth="true" hidden="false" outlineLevel="0" max="14" min="14" style="0" width="8.18"/>
    <col collapsed="false" customWidth="true" hidden="false" outlineLevel="0" max="15" min="15" style="0" width="8.54"/>
    <col collapsed="false" customWidth="true" hidden="false" outlineLevel="0" max="212" min="212" style="0" width="2.82"/>
    <col collapsed="false" customWidth="true" hidden="false" outlineLevel="0" max="213" min="213" style="0" width="2"/>
    <col collapsed="false" customWidth="true" hidden="false" outlineLevel="0" max="215" min="215" style="0" width="2"/>
    <col collapsed="false" customWidth="true" hidden="false" outlineLevel="0" max="217" min="217" style="0" width="2"/>
    <col collapsed="false" customWidth="true" hidden="false" outlineLevel="0" max="219" min="219" style="0" width="2"/>
    <col collapsed="false" customWidth="true" hidden="false" outlineLevel="0" max="221" min="221" style="0" width="2"/>
    <col collapsed="false" customWidth="true" hidden="false" outlineLevel="0" max="222" min="222" style="0" width="2.82"/>
    <col collapsed="false" customWidth="true" hidden="false" outlineLevel="0" max="223" min="223" style="0" width="2.45"/>
    <col collapsed="false" customWidth="true" hidden="false" outlineLevel="0" max="225" min="225" style="0" width="2.45"/>
    <col collapsed="false" customWidth="true" hidden="false" outlineLevel="0" max="227" min="227" style="0" width="2.45"/>
    <col collapsed="false" customWidth="true" hidden="false" outlineLevel="0" max="228" min="228" style="0" width="11.73"/>
    <col collapsed="false" customWidth="true" hidden="false" outlineLevel="0" max="229" min="229" style="0" width="2.45"/>
    <col collapsed="false" customWidth="true" hidden="false" outlineLevel="0" max="231" min="231" style="0" width="4.73"/>
    <col collapsed="false" customWidth="true" hidden="false" outlineLevel="0" max="232" min="232" style="0" width="2.45"/>
    <col collapsed="false" customWidth="true" hidden="false" outlineLevel="0" max="233" min="233" style="0" width="4"/>
    <col collapsed="false" customWidth="true" hidden="false" outlineLevel="0" max="234" min="234" style="0" width="2.45"/>
    <col collapsed="false" customWidth="true" hidden="false" outlineLevel="0" max="236" min="236" style="0" width="2.45"/>
    <col collapsed="false" customWidth="true" hidden="false" outlineLevel="0" max="238" min="238" style="0" width="2.45"/>
    <col collapsed="false" customWidth="true" hidden="false" outlineLevel="0" max="239" min="239" style="0" width="11.73"/>
    <col collapsed="false" customWidth="true" hidden="false" outlineLevel="0" max="240" min="240" style="0" width="2.45"/>
    <col collapsed="false" customWidth="true" hidden="false" outlineLevel="0" max="242" min="242" style="0" width="4.73"/>
    <col collapsed="false" customWidth="true" hidden="false" outlineLevel="0" max="243" min="243" style="0" width="2.45"/>
    <col collapsed="false" customWidth="true" hidden="false" outlineLevel="0" max="468" min="468" style="0" width="2.82"/>
    <col collapsed="false" customWidth="true" hidden="false" outlineLevel="0" max="469" min="469" style="0" width="2"/>
    <col collapsed="false" customWidth="true" hidden="false" outlineLevel="0" max="471" min="471" style="0" width="2"/>
    <col collapsed="false" customWidth="true" hidden="false" outlineLevel="0" max="473" min="473" style="0" width="2"/>
    <col collapsed="false" customWidth="true" hidden="false" outlineLevel="0" max="475" min="475" style="0" width="2"/>
    <col collapsed="false" customWidth="true" hidden="false" outlineLevel="0" max="477" min="477" style="0" width="2"/>
    <col collapsed="false" customWidth="true" hidden="false" outlineLevel="0" max="478" min="478" style="0" width="2.82"/>
    <col collapsed="false" customWidth="true" hidden="false" outlineLevel="0" max="479" min="479" style="0" width="2.45"/>
    <col collapsed="false" customWidth="true" hidden="false" outlineLevel="0" max="481" min="481" style="0" width="2.45"/>
    <col collapsed="false" customWidth="true" hidden="false" outlineLevel="0" max="483" min="483" style="0" width="2.45"/>
    <col collapsed="false" customWidth="true" hidden="false" outlineLevel="0" max="484" min="484" style="0" width="11.73"/>
    <col collapsed="false" customWidth="true" hidden="false" outlineLevel="0" max="485" min="485" style="0" width="2.45"/>
    <col collapsed="false" customWidth="true" hidden="false" outlineLevel="0" max="487" min="487" style="0" width="4.73"/>
    <col collapsed="false" customWidth="true" hidden="false" outlineLevel="0" max="488" min="488" style="0" width="2.45"/>
    <col collapsed="false" customWidth="true" hidden="false" outlineLevel="0" max="489" min="489" style="0" width="4"/>
    <col collapsed="false" customWidth="true" hidden="false" outlineLevel="0" max="490" min="490" style="0" width="2.45"/>
    <col collapsed="false" customWidth="true" hidden="false" outlineLevel="0" max="492" min="492" style="0" width="2.45"/>
    <col collapsed="false" customWidth="true" hidden="false" outlineLevel="0" max="494" min="494" style="0" width="2.45"/>
    <col collapsed="false" customWidth="true" hidden="false" outlineLevel="0" max="495" min="495" style="0" width="11.73"/>
    <col collapsed="false" customWidth="true" hidden="false" outlineLevel="0" max="496" min="496" style="0" width="2.45"/>
    <col collapsed="false" customWidth="true" hidden="false" outlineLevel="0" max="498" min="498" style="0" width="4.73"/>
    <col collapsed="false" customWidth="true" hidden="false" outlineLevel="0" max="499" min="499" style="0" width="2.45"/>
    <col collapsed="false" customWidth="true" hidden="false" outlineLevel="0" max="724" min="724" style="0" width="2.82"/>
    <col collapsed="false" customWidth="true" hidden="false" outlineLevel="0" max="725" min="725" style="0" width="2"/>
    <col collapsed="false" customWidth="true" hidden="false" outlineLevel="0" max="727" min="727" style="0" width="2"/>
    <col collapsed="false" customWidth="true" hidden="false" outlineLevel="0" max="729" min="729" style="0" width="2"/>
    <col collapsed="false" customWidth="true" hidden="false" outlineLevel="0" max="731" min="731" style="0" width="2"/>
    <col collapsed="false" customWidth="true" hidden="false" outlineLevel="0" max="733" min="733" style="0" width="2"/>
    <col collapsed="false" customWidth="true" hidden="false" outlineLevel="0" max="734" min="734" style="0" width="2.82"/>
    <col collapsed="false" customWidth="true" hidden="false" outlineLevel="0" max="735" min="735" style="0" width="2.45"/>
    <col collapsed="false" customWidth="true" hidden="false" outlineLevel="0" max="737" min="737" style="0" width="2.45"/>
    <col collapsed="false" customWidth="true" hidden="false" outlineLevel="0" max="739" min="739" style="0" width="2.45"/>
    <col collapsed="false" customWidth="true" hidden="false" outlineLevel="0" max="740" min="740" style="0" width="11.73"/>
    <col collapsed="false" customWidth="true" hidden="false" outlineLevel="0" max="741" min="741" style="0" width="2.45"/>
    <col collapsed="false" customWidth="true" hidden="false" outlineLevel="0" max="743" min="743" style="0" width="4.73"/>
    <col collapsed="false" customWidth="true" hidden="false" outlineLevel="0" max="744" min="744" style="0" width="2.45"/>
    <col collapsed="false" customWidth="true" hidden="false" outlineLevel="0" max="745" min="745" style="0" width="4"/>
    <col collapsed="false" customWidth="true" hidden="false" outlineLevel="0" max="746" min="746" style="0" width="2.45"/>
    <col collapsed="false" customWidth="true" hidden="false" outlineLevel="0" max="748" min="748" style="0" width="2.45"/>
    <col collapsed="false" customWidth="true" hidden="false" outlineLevel="0" max="750" min="750" style="0" width="2.45"/>
    <col collapsed="false" customWidth="true" hidden="false" outlineLevel="0" max="751" min="751" style="0" width="11.73"/>
    <col collapsed="false" customWidth="true" hidden="false" outlineLevel="0" max="752" min="752" style="0" width="2.45"/>
    <col collapsed="false" customWidth="true" hidden="false" outlineLevel="0" max="754" min="754" style="0" width="4.73"/>
    <col collapsed="false" customWidth="true" hidden="false" outlineLevel="0" max="755" min="755" style="0" width="2.45"/>
    <col collapsed="false" customWidth="true" hidden="false" outlineLevel="0" max="980" min="980" style="0" width="2.82"/>
    <col collapsed="false" customWidth="true" hidden="false" outlineLevel="0" max="981" min="981" style="0" width="2"/>
    <col collapsed="false" customWidth="true" hidden="false" outlineLevel="0" max="983" min="983" style="0" width="2"/>
    <col collapsed="false" customWidth="true" hidden="false" outlineLevel="0" max="985" min="985" style="0" width="2"/>
    <col collapsed="false" customWidth="true" hidden="false" outlineLevel="0" max="987" min="987" style="0" width="2"/>
    <col collapsed="false" customWidth="true" hidden="false" outlineLevel="0" max="989" min="989" style="0" width="2"/>
    <col collapsed="false" customWidth="true" hidden="false" outlineLevel="0" max="990" min="990" style="0" width="2.82"/>
    <col collapsed="false" customWidth="true" hidden="false" outlineLevel="0" max="991" min="991" style="0" width="2.45"/>
    <col collapsed="false" customWidth="true" hidden="false" outlineLevel="0" max="993" min="993" style="0" width="2.45"/>
    <col collapsed="false" customWidth="true" hidden="false" outlineLevel="0" max="995" min="995" style="0" width="2.45"/>
    <col collapsed="false" customWidth="true" hidden="false" outlineLevel="0" max="996" min="996" style="0" width="11.73"/>
    <col collapsed="false" customWidth="true" hidden="false" outlineLevel="0" max="997" min="997" style="0" width="2.45"/>
    <col collapsed="false" customWidth="true" hidden="false" outlineLevel="0" max="999" min="999" style="0" width="4.73"/>
    <col collapsed="false" customWidth="true" hidden="false" outlineLevel="0" max="1000" min="1000" style="0" width="2.45"/>
    <col collapsed="false" customWidth="true" hidden="false" outlineLevel="0" max="1001" min="1001" style="0" width="4"/>
    <col collapsed="false" customWidth="true" hidden="false" outlineLevel="0" max="1002" min="1002" style="0" width="2.45"/>
    <col collapsed="false" customWidth="true" hidden="false" outlineLevel="0" max="1004" min="1004" style="0" width="2.45"/>
    <col collapsed="false" customWidth="true" hidden="false" outlineLevel="0" max="1006" min="1006" style="0" width="2.45"/>
    <col collapsed="false" customWidth="true" hidden="false" outlineLevel="0" max="1007" min="1007" style="0" width="11.73"/>
    <col collapsed="false" customWidth="true" hidden="false" outlineLevel="0" max="1008" min="1008" style="0" width="2.45"/>
    <col collapsed="false" customWidth="true" hidden="false" outlineLevel="0" max="1010" min="1010" style="0" width="4.73"/>
    <col collapsed="false" customWidth="true" hidden="false" outlineLevel="0" max="1011" min="1011" style="0" width="2.45"/>
    <col collapsed="false" customWidth="true" hidden="false" outlineLevel="0" max="1236" min="1236" style="0" width="2.82"/>
    <col collapsed="false" customWidth="true" hidden="false" outlineLevel="0" max="1237" min="1237" style="0" width="2"/>
    <col collapsed="false" customWidth="true" hidden="false" outlineLevel="0" max="1239" min="1239" style="0" width="2"/>
    <col collapsed="false" customWidth="true" hidden="false" outlineLevel="0" max="1241" min="1241" style="0" width="2"/>
    <col collapsed="false" customWidth="true" hidden="false" outlineLevel="0" max="1243" min="1243" style="0" width="2"/>
    <col collapsed="false" customWidth="true" hidden="false" outlineLevel="0" max="1245" min="1245" style="0" width="2"/>
    <col collapsed="false" customWidth="true" hidden="false" outlineLevel="0" max="1246" min="1246" style="0" width="2.82"/>
    <col collapsed="false" customWidth="true" hidden="false" outlineLevel="0" max="1247" min="1247" style="0" width="2.45"/>
    <col collapsed="false" customWidth="true" hidden="false" outlineLevel="0" max="1249" min="1249" style="0" width="2.45"/>
    <col collapsed="false" customWidth="true" hidden="false" outlineLevel="0" max="1251" min="1251" style="0" width="2.45"/>
    <col collapsed="false" customWidth="true" hidden="false" outlineLevel="0" max="1252" min="1252" style="0" width="11.73"/>
    <col collapsed="false" customWidth="true" hidden="false" outlineLevel="0" max="1253" min="1253" style="0" width="2.45"/>
    <col collapsed="false" customWidth="true" hidden="false" outlineLevel="0" max="1255" min="1255" style="0" width="4.73"/>
    <col collapsed="false" customWidth="true" hidden="false" outlineLevel="0" max="1256" min="1256" style="0" width="2.45"/>
    <col collapsed="false" customWidth="true" hidden="false" outlineLevel="0" max="1257" min="1257" style="0" width="4"/>
    <col collapsed="false" customWidth="true" hidden="false" outlineLevel="0" max="1258" min="1258" style="0" width="2.45"/>
    <col collapsed="false" customWidth="true" hidden="false" outlineLevel="0" max="1260" min="1260" style="0" width="2.45"/>
    <col collapsed="false" customWidth="true" hidden="false" outlineLevel="0" max="1262" min="1262" style="0" width="2.45"/>
    <col collapsed="false" customWidth="true" hidden="false" outlineLevel="0" max="1263" min="1263" style="0" width="11.73"/>
    <col collapsed="false" customWidth="true" hidden="false" outlineLevel="0" max="1264" min="1264" style="0" width="2.45"/>
    <col collapsed="false" customWidth="true" hidden="false" outlineLevel="0" max="1266" min="1266" style="0" width="4.73"/>
    <col collapsed="false" customWidth="true" hidden="false" outlineLevel="0" max="1267" min="1267" style="0" width="2.45"/>
    <col collapsed="false" customWidth="true" hidden="false" outlineLevel="0" max="1492" min="1492" style="0" width="2.82"/>
    <col collapsed="false" customWidth="true" hidden="false" outlineLevel="0" max="1493" min="1493" style="0" width="2"/>
    <col collapsed="false" customWidth="true" hidden="false" outlineLevel="0" max="1495" min="1495" style="0" width="2"/>
    <col collapsed="false" customWidth="true" hidden="false" outlineLevel="0" max="1497" min="1497" style="0" width="2"/>
    <col collapsed="false" customWidth="true" hidden="false" outlineLevel="0" max="1499" min="1499" style="0" width="2"/>
    <col collapsed="false" customWidth="true" hidden="false" outlineLevel="0" max="1501" min="1501" style="0" width="2"/>
    <col collapsed="false" customWidth="true" hidden="false" outlineLevel="0" max="1502" min="1502" style="0" width="2.82"/>
    <col collapsed="false" customWidth="true" hidden="false" outlineLevel="0" max="1503" min="1503" style="0" width="2.45"/>
    <col collapsed="false" customWidth="true" hidden="false" outlineLevel="0" max="1505" min="1505" style="0" width="2.45"/>
    <col collapsed="false" customWidth="true" hidden="false" outlineLevel="0" max="1507" min="1507" style="0" width="2.45"/>
    <col collapsed="false" customWidth="true" hidden="false" outlineLevel="0" max="1508" min="1508" style="0" width="11.73"/>
    <col collapsed="false" customWidth="true" hidden="false" outlineLevel="0" max="1509" min="1509" style="0" width="2.45"/>
    <col collapsed="false" customWidth="true" hidden="false" outlineLevel="0" max="1511" min="1511" style="0" width="4.73"/>
    <col collapsed="false" customWidth="true" hidden="false" outlineLevel="0" max="1512" min="1512" style="0" width="2.45"/>
    <col collapsed="false" customWidth="true" hidden="false" outlineLevel="0" max="1513" min="1513" style="0" width="4"/>
    <col collapsed="false" customWidth="true" hidden="false" outlineLevel="0" max="1514" min="1514" style="0" width="2.45"/>
    <col collapsed="false" customWidth="true" hidden="false" outlineLevel="0" max="1516" min="1516" style="0" width="2.45"/>
    <col collapsed="false" customWidth="true" hidden="false" outlineLevel="0" max="1518" min="1518" style="0" width="2.45"/>
    <col collapsed="false" customWidth="true" hidden="false" outlineLevel="0" max="1519" min="1519" style="0" width="11.73"/>
    <col collapsed="false" customWidth="true" hidden="false" outlineLevel="0" max="1520" min="1520" style="0" width="2.45"/>
    <col collapsed="false" customWidth="true" hidden="false" outlineLevel="0" max="1522" min="1522" style="0" width="4.73"/>
    <col collapsed="false" customWidth="true" hidden="false" outlineLevel="0" max="1523" min="1523" style="0" width="2.45"/>
    <col collapsed="false" customWidth="true" hidden="false" outlineLevel="0" max="1748" min="1748" style="0" width="2.82"/>
    <col collapsed="false" customWidth="true" hidden="false" outlineLevel="0" max="1749" min="1749" style="0" width="2"/>
    <col collapsed="false" customWidth="true" hidden="false" outlineLevel="0" max="1751" min="1751" style="0" width="2"/>
    <col collapsed="false" customWidth="true" hidden="false" outlineLevel="0" max="1753" min="1753" style="0" width="2"/>
    <col collapsed="false" customWidth="true" hidden="false" outlineLevel="0" max="1755" min="1755" style="0" width="2"/>
    <col collapsed="false" customWidth="true" hidden="false" outlineLevel="0" max="1757" min="1757" style="0" width="2"/>
    <col collapsed="false" customWidth="true" hidden="false" outlineLevel="0" max="1758" min="1758" style="0" width="2.82"/>
    <col collapsed="false" customWidth="true" hidden="false" outlineLevel="0" max="1759" min="1759" style="0" width="2.45"/>
    <col collapsed="false" customWidth="true" hidden="false" outlineLevel="0" max="1761" min="1761" style="0" width="2.45"/>
    <col collapsed="false" customWidth="true" hidden="false" outlineLevel="0" max="1763" min="1763" style="0" width="2.45"/>
    <col collapsed="false" customWidth="true" hidden="false" outlineLevel="0" max="1764" min="1764" style="0" width="11.73"/>
    <col collapsed="false" customWidth="true" hidden="false" outlineLevel="0" max="1765" min="1765" style="0" width="2.45"/>
    <col collapsed="false" customWidth="true" hidden="false" outlineLevel="0" max="1767" min="1767" style="0" width="4.73"/>
    <col collapsed="false" customWidth="true" hidden="false" outlineLevel="0" max="1768" min="1768" style="0" width="2.45"/>
    <col collapsed="false" customWidth="true" hidden="false" outlineLevel="0" max="1769" min="1769" style="0" width="4"/>
    <col collapsed="false" customWidth="true" hidden="false" outlineLevel="0" max="1770" min="1770" style="0" width="2.45"/>
    <col collapsed="false" customWidth="true" hidden="false" outlineLevel="0" max="1772" min="1772" style="0" width="2.45"/>
    <col collapsed="false" customWidth="true" hidden="false" outlineLevel="0" max="1774" min="1774" style="0" width="2.45"/>
    <col collapsed="false" customWidth="true" hidden="false" outlineLevel="0" max="1775" min="1775" style="0" width="11.73"/>
    <col collapsed="false" customWidth="true" hidden="false" outlineLevel="0" max="1776" min="1776" style="0" width="2.45"/>
    <col collapsed="false" customWidth="true" hidden="false" outlineLevel="0" max="1778" min="1778" style="0" width="4.73"/>
    <col collapsed="false" customWidth="true" hidden="false" outlineLevel="0" max="1779" min="1779" style="0" width="2.45"/>
    <col collapsed="false" customWidth="true" hidden="false" outlineLevel="0" max="2004" min="2004" style="0" width="2.82"/>
    <col collapsed="false" customWidth="true" hidden="false" outlineLevel="0" max="2005" min="2005" style="0" width="2"/>
    <col collapsed="false" customWidth="true" hidden="false" outlineLevel="0" max="2007" min="2007" style="0" width="2"/>
    <col collapsed="false" customWidth="true" hidden="false" outlineLevel="0" max="2009" min="2009" style="0" width="2"/>
    <col collapsed="false" customWidth="true" hidden="false" outlineLevel="0" max="2011" min="2011" style="0" width="2"/>
    <col collapsed="false" customWidth="true" hidden="false" outlineLevel="0" max="2013" min="2013" style="0" width="2"/>
    <col collapsed="false" customWidth="true" hidden="false" outlineLevel="0" max="2014" min="2014" style="0" width="2.82"/>
    <col collapsed="false" customWidth="true" hidden="false" outlineLevel="0" max="2015" min="2015" style="0" width="2.45"/>
    <col collapsed="false" customWidth="true" hidden="false" outlineLevel="0" max="2017" min="2017" style="0" width="2.45"/>
    <col collapsed="false" customWidth="true" hidden="false" outlineLevel="0" max="2019" min="2019" style="0" width="2.45"/>
    <col collapsed="false" customWidth="true" hidden="false" outlineLevel="0" max="2020" min="2020" style="0" width="11.73"/>
    <col collapsed="false" customWidth="true" hidden="false" outlineLevel="0" max="2021" min="2021" style="0" width="2.45"/>
    <col collapsed="false" customWidth="true" hidden="false" outlineLevel="0" max="2023" min="2023" style="0" width="4.73"/>
    <col collapsed="false" customWidth="true" hidden="false" outlineLevel="0" max="2024" min="2024" style="0" width="2.45"/>
    <col collapsed="false" customWidth="true" hidden="false" outlineLevel="0" max="2025" min="2025" style="0" width="4"/>
    <col collapsed="false" customWidth="true" hidden="false" outlineLevel="0" max="2026" min="2026" style="0" width="2.45"/>
    <col collapsed="false" customWidth="true" hidden="false" outlineLevel="0" max="2028" min="2028" style="0" width="2.45"/>
    <col collapsed="false" customWidth="true" hidden="false" outlineLevel="0" max="2030" min="2030" style="0" width="2.45"/>
    <col collapsed="false" customWidth="true" hidden="false" outlineLevel="0" max="2031" min="2031" style="0" width="11.73"/>
    <col collapsed="false" customWidth="true" hidden="false" outlineLevel="0" max="2032" min="2032" style="0" width="2.45"/>
    <col collapsed="false" customWidth="true" hidden="false" outlineLevel="0" max="2034" min="2034" style="0" width="4.73"/>
    <col collapsed="false" customWidth="true" hidden="false" outlineLevel="0" max="2035" min="2035" style="0" width="2.45"/>
    <col collapsed="false" customWidth="true" hidden="false" outlineLevel="0" max="2260" min="2260" style="0" width="2.82"/>
    <col collapsed="false" customWidth="true" hidden="false" outlineLevel="0" max="2261" min="2261" style="0" width="2"/>
    <col collapsed="false" customWidth="true" hidden="false" outlineLevel="0" max="2263" min="2263" style="0" width="2"/>
    <col collapsed="false" customWidth="true" hidden="false" outlineLevel="0" max="2265" min="2265" style="0" width="2"/>
    <col collapsed="false" customWidth="true" hidden="false" outlineLevel="0" max="2267" min="2267" style="0" width="2"/>
    <col collapsed="false" customWidth="true" hidden="false" outlineLevel="0" max="2269" min="2269" style="0" width="2"/>
    <col collapsed="false" customWidth="true" hidden="false" outlineLevel="0" max="2270" min="2270" style="0" width="2.82"/>
    <col collapsed="false" customWidth="true" hidden="false" outlineLevel="0" max="2271" min="2271" style="0" width="2.45"/>
    <col collapsed="false" customWidth="true" hidden="false" outlineLevel="0" max="2273" min="2273" style="0" width="2.45"/>
    <col collapsed="false" customWidth="true" hidden="false" outlineLevel="0" max="2275" min="2275" style="0" width="2.45"/>
    <col collapsed="false" customWidth="true" hidden="false" outlineLevel="0" max="2276" min="2276" style="0" width="11.73"/>
    <col collapsed="false" customWidth="true" hidden="false" outlineLevel="0" max="2277" min="2277" style="0" width="2.45"/>
    <col collapsed="false" customWidth="true" hidden="false" outlineLevel="0" max="2279" min="2279" style="0" width="4.73"/>
    <col collapsed="false" customWidth="true" hidden="false" outlineLevel="0" max="2280" min="2280" style="0" width="2.45"/>
    <col collapsed="false" customWidth="true" hidden="false" outlineLevel="0" max="2281" min="2281" style="0" width="4"/>
    <col collapsed="false" customWidth="true" hidden="false" outlineLevel="0" max="2282" min="2282" style="0" width="2.45"/>
    <col collapsed="false" customWidth="true" hidden="false" outlineLevel="0" max="2284" min="2284" style="0" width="2.45"/>
    <col collapsed="false" customWidth="true" hidden="false" outlineLevel="0" max="2286" min="2286" style="0" width="2.45"/>
    <col collapsed="false" customWidth="true" hidden="false" outlineLevel="0" max="2287" min="2287" style="0" width="11.73"/>
    <col collapsed="false" customWidth="true" hidden="false" outlineLevel="0" max="2288" min="2288" style="0" width="2.45"/>
    <col collapsed="false" customWidth="true" hidden="false" outlineLevel="0" max="2290" min="2290" style="0" width="4.73"/>
    <col collapsed="false" customWidth="true" hidden="false" outlineLevel="0" max="2291" min="2291" style="0" width="2.45"/>
    <col collapsed="false" customWidth="true" hidden="false" outlineLevel="0" max="2516" min="2516" style="0" width="2.82"/>
    <col collapsed="false" customWidth="true" hidden="false" outlineLevel="0" max="2517" min="2517" style="0" width="2"/>
    <col collapsed="false" customWidth="true" hidden="false" outlineLevel="0" max="2519" min="2519" style="0" width="2"/>
    <col collapsed="false" customWidth="true" hidden="false" outlineLevel="0" max="2521" min="2521" style="0" width="2"/>
    <col collapsed="false" customWidth="true" hidden="false" outlineLevel="0" max="2523" min="2523" style="0" width="2"/>
    <col collapsed="false" customWidth="true" hidden="false" outlineLevel="0" max="2525" min="2525" style="0" width="2"/>
    <col collapsed="false" customWidth="true" hidden="false" outlineLevel="0" max="2526" min="2526" style="0" width="2.82"/>
    <col collapsed="false" customWidth="true" hidden="false" outlineLevel="0" max="2527" min="2527" style="0" width="2.45"/>
    <col collapsed="false" customWidth="true" hidden="false" outlineLevel="0" max="2529" min="2529" style="0" width="2.45"/>
    <col collapsed="false" customWidth="true" hidden="false" outlineLevel="0" max="2531" min="2531" style="0" width="2.45"/>
    <col collapsed="false" customWidth="true" hidden="false" outlineLevel="0" max="2532" min="2532" style="0" width="11.73"/>
    <col collapsed="false" customWidth="true" hidden="false" outlineLevel="0" max="2533" min="2533" style="0" width="2.45"/>
    <col collapsed="false" customWidth="true" hidden="false" outlineLevel="0" max="2535" min="2535" style="0" width="4.73"/>
    <col collapsed="false" customWidth="true" hidden="false" outlineLevel="0" max="2536" min="2536" style="0" width="2.45"/>
    <col collapsed="false" customWidth="true" hidden="false" outlineLevel="0" max="2537" min="2537" style="0" width="4"/>
    <col collapsed="false" customWidth="true" hidden="false" outlineLevel="0" max="2538" min="2538" style="0" width="2.45"/>
    <col collapsed="false" customWidth="true" hidden="false" outlineLevel="0" max="2540" min="2540" style="0" width="2.45"/>
    <col collapsed="false" customWidth="true" hidden="false" outlineLevel="0" max="2542" min="2542" style="0" width="2.45"/>
    <col collapsed="false" customWidth="true" hidden="false" outlineLevel="0" max="2543" min="2543" style="0" width="11.73"/>
    <col collapsed="false" customWidth="true" hidden="false" outlineLevel="0" max="2544" min="2544" style="0" width="2.45"/>
    <col collapsed="false" customWidth="true" hidden="false" outlineLevel="0" max="2546" min="2546" style="0" width="4.73"/>
    <col collapsed="false" customWidth="true" hidden="false" outlineLevel="0" max="2547" min="2547" style="0" width="2.45"/>
    <col collapsed="false" customWidth="true" hidden="false" outlineLevel="0" max="2772" min="2772" style="0" width="2.82"/>
    <col collapsed="false" customWidth="true" hidden="false" outlineLevel="0" max="2773" min="2773" style="0" width="2"/>
    <col collapsed="false" customWidth="true" hidden="false" outlineLevel="0" max="2775" min="2775" style="0" width="2"/>
    <col collapsed="false" customWidth="true" hidden="false" outlineLevel="0" max="2777" min="2777" style="0" width="2"/>
    <col collapsed="false" customWidth="true" hidden="false" outlineLevel="0" max="2779" min="2779" style="0" width="2"/>
    <col collapsed="false" customWidth="true" hidden="false" outlineLevel="0" max="2781" min="2781" style="0" width="2"/>
    <col collapsed="false" customWidth="true" hidden="false" outlineLevel="0" max="2782" min="2782" style="0" width="2.82"/>
    <col collapsed="false" customWidth="true" hidden="false" outlineLevel="0" max="2783" min="2783" style="0" width="2.45"/>
    <col collapsed="false" customWidth="true" hidden="false" outlineLevel="0" max="2785" min="2785" style="0" width="2.45"/>
    <col collapsed="false" customWidth="true" hidden="false" outlineLevel="0" max="2787" min="2787" style="0" width="2.45"/>
    <col collapsed="false" customWidth="true" hidden="false" outlineLevel="0" max="2788" min="2788" style="0" width="11.73"/>
    <col collapsed="false" customWidth="true" hidden="false" outlineLevel="0" max="2789" min="2789" style="0" width="2.45"/>
    <col collapsed="false" customWidth="true" hidden="false" outlineLevel="0" max="2791" min="2791" style="0" width="4.73"/>
    <col collapsed="false" customWidth="true" hidden="false" outlineLevel="0" max="2792" min="2792" style="0" width="2.45"/>
    <col collapsed="false" customWidth="true" hidden="false" outlineLevel="0" max="2793" min="2793" style="0" width="4"/>
    <col collapsed="false" customWidth="true" hidden="false" outlineLevel="0" max="2794" min="2794" style="0" width="2.45"/>
    <col collapsed="false" customWidth="true" hidden="false" outlineLevel="0" max="2796" min="2796" style="0" width="2.45"/>
    <col collapsed="false" customWidth="true" hidden="false" outlineLevel="0" max="2798" min="2798" style="0" width="2.45"/>
    <col collapsed="false" customWidth="true" hidden="false" outlineLevel="0" max="2799" min="2799" style="0" width="11.73"/>
    <col collapsed="false" customWidth="true" hidden="false" outlineLevel="0" max="2800" min="2800" style="0" width="2.45"/>
    <col collapsed="false" customWidth="true" hidden="false" outlineLevel="0" max="2802" min="2802" style="0" width="4.73"/>
    <col collapsed="false" customWidth="true" hidden="false" outlineLevel="0" max="2803" min="2803" style="0" width="2.45"/>
    <col collapsed="false" customWidth="true" hidden="false" outlineLevel="0" max="3028" min="3028" style="0" width="2.82"/>
    <col collapsed="false" customWidth="true" hidden="false" outlineLevel="0" max="3029" min="3029" style="0" width="2"/>
    <col collapsed="false" customWidth="true" hidden="false" outlineLevel="0" max="3031" min="3031" style="0" width="2"/>
    <col collapsed="false" customWidth="true" hidden="false" outlineLevel="0" max="3033" min="3033" style="0" width="2"/>
    <col collapsed="false" customWidth="true" hidden="false" outlineLevel="0" max="3035" min="3035" style="0" width="2"/>
    <col collapsed="false" customWidth="true" hidden="false" outlineLevel="0" max="3037" min="3037" style="0" width="2"/>
    <col collapsed="false" customWidth="true" hidden="false" outlineLevel="0" max="3038" min="3038" style="0" width="2.82"/>
    <col collapsed="false" customWidth="true" hidden="false" outlineLevel="0" max="3039" min="3039" style="0" width="2.45"/>
    <col collapsed="false" customWidth="true" hidden="false" outlineLevel="0" max="3041" min="3041" style="0" width="2.45"/>
    <col collapsed="false" customWidth="true" hidden="false" outlineLevel="0" max="3043" min="3043" style="0" width="2.45"/>
    <col collapsed="false" customWidth="true" hidden="false" outlineLevel="0" max="3044" min="3044" style="0" width="11.73"/>
    <col collapsed="false" customWidth="true" hidden="false" outlineLevel="0" max="3045" min="3045" style="0" width="2.45"/>
    <col collapsed="false" customWidth="true" hidden="false" outlineLevel="0" max="3047" min="3047" style="0" width="4.73"/>
    <col collapsed="false" customWidth="true" hidden="false" outlineLevel="0" max="3048" min="3048" style="0" width="2.45"/>
    <col collapsed="false" customWidth="true" hidden="false" outlineLevel="0" max="3049" min="3049" style="0" width="4"/>
    <col collapsed="false" customWidth="true" hidden="false" outlineLevel="0" max="3050" min="3050" style="0" width="2.45"/>
    <col collapsed="false" customWidth="true" hidden="false" outlineLevel="0" max="3052" min="3052" style="0" width="2.45"/>
    <col collapsed="false" customWidth="true" hidden="false" outlineLevel="0" max="3054" min="3054" style="0" width="2.45"/>
    <col collapsed="false" customWidth="true" hidden="false" outlineLevel="0" max="3055" min="3055" style="0" width="11.73"/>
    <col collapsed="false" customWidth="true" hidden="false" outlineLevel="0" max="3056" min="3056" style="0" width="2.45"/>
    <col collapsed="false" customWidth="true" hidden="false" outlineLevel="0" max="3058" min="3058" style="0" width="4.73"/>
    <col collapsed="false" customWidth="true" hidden="false" outlineLevel="0" max="3059" min="3059" style="0" width="2.45"/>
    <col collapsed="false" customWidth="true" hidden="false" outlineLevel="0" max="3284" min="3284" style="0" width="2.82"/>
    <col collapsed="false" customWidth="true" hidden="false" outlineLevel="0" max="3285" min="3285" style="0" width="2"/>
    <col collapsed="false" customWidth="true" hidden="false" outlineLevel="0" max="3287" min="3287" style="0" width="2"/>
    <col collapsed="false" customWidth="true" hidden="false" outlineLevel="0" max="3289" min="3289" style="0" width="2"/>
    <col collapsed="false" customWidth="true" hidden="false" outlineLevel="0" max="3291" min="3291" style="0" width="2"/>
    <col collapsed="false" customWidth="true" hidden="false" outlineLevel="0" max="3293" min="3293" style="0" width="2"/>
    <col collapsed="false" customWidth="true" hidden="false" outlineLevel="0" max="3294" min="3294" style="0" width="2.82"/>
    <col collapsed="false" customWidth="true" hidden="false" outlineLevel="0" max="3295" min="3295" style="0" width="2.45"/>
    <col collapsed="false" customWidth="true" hidden="false" outlineLevel="0" max="3297" min="3297" style="0" width="2.45"/>
    <col collapsed="false" customWidth="true" hidden="false" outlineLevel="0" max="3299" min="3299" style="0" width="2.45"/>
    <col collapsed="false" customWidth="true" hidden="false" outlineLevel="0" max="3300" min="3300" style="0" width="11.73"/>
    <col collapsed="false" customWidth="true" hidden="false" outlineLevel="0" max="3301" min="3301" style="0" width="2.45"/>
    <col collapsed="false" customWidth="true" hidden="false" outlineLevel="0" max="3303" min="3303" style="0" width="4.73"/>
    <col collapsed="false" customWidth="true" hidden="false" outlineLevel="0" max="3304" min="3304" style="0" width="2.45"/>
    <col collapsed="false" customWidth="true" hidden="false" outlineLevel="0" max="3305" min="3305" style="0" width="4"/>
    <col collapsed="false" customWidth="true" hidden="false" outlineLevel="0" max="3306" min="3306" style="0" width="2.45"/>
    <col collapsed="false" customWidth="true" hidden="false" outlineLevel="0" max="3308" min="3308" style="0" width="2.45"/>
    <col collapsed="false" customWidth="true" hidden="false" outlineLevel="0" max="3310" min="3310" style="0" width="2.45"/>
    <col collapsed="false" customWidth="true" hidden="false" outlineLevel="0" max="3311" min="3311" style="0" width="11.73"/>
    <col collapsed="false" customWidth="true" hidden="false" outlineLevel="0" max="3312" min="3312" style="0" width="2.45"/>
    <col collapsed="false" customWidth="true" hidden="false" outlineLevel="0" max="3314" min="3314" style="0" width="4.73"/>
    <col collapsed="false" customWidth="true" hidden="false" outlineLevel="0" max="3315" min="3315" style="0" width="2.45"/>
    <col collapsed="false" customWidth="true" hidden="false" outlineLevel="0" max="3540" min="3540" style="0" width="2.82"/>
    <col collapsed="false" customWidth="true" hidden="false" outlineLevel="0" max="3541" min="3541" style="0" width="2"/>
    <col collapsed="false" customWidth="true" hidden="false" outlineLevel="0" max="3543" min="3543" style="0" width="2"/>
    <col collapsed="false" customWidth="true" hidden="false" outlineLevel="0" max="3545" min="3545" style="0" width="2"/>
    <col collapsed="false" customWidth="true" hidden="false" outlineLevel="0" max="3547" min="3547" style="0" width="2"/>
    <col collapsed="false" customWidth="true" hidden="false" outlineLevel="0" max="3549" min="3549" style="0" width="2"/>
    <col collapsed="false" customWidth="true" hidden="false" outlineLevel="0" max="3550" min="3550" style="0" width="2.82"/>
    <col collapsed="false" customWidth="true" hidden="false" outlineLevel="0" max="3551" min="3551" style="0" width="2.45"/>
    <col collapsed="false" customWidth="true" hidden="false" outlineLevel="0" max="3553" min="3553" style="0" width="2.45"/>
    <col collapsed="false" customWidth="true" hidden="false" outlineLevel="0" max="3555" min="3555" style="0" width="2.45"/>
    <col collapsed="false" customWidth="true" hidden="false" outlineLevel="0" max="3556" min="3556" style="0" width="11.73"/>
    <col collapsed="false" customWidth="true" hidden="false" outlineLevel="0" max="3557" min="3557" style="0" width="2.45"/>
    <col collapsed="false" customWidth="true" hidden="false" outlineLevel="0" max="3559" min="3559" style="0" width="4.73"/>
    <col collapsed="false" customWidth="true" hidden="false" outlineLevel="0" max="3560" min="3560" style="0" width="2.45"/>
    <col collapsed="false" customWidth="true" hidden="false" outlineLevel="0" max="3561" min="3561" style="0" width="4"/>
    <col collapsed="false" customWidth="true" hidden="false" outlineLevel="0" max="3562" min="3562" style="0" width="2.45"/>
    <col collapsed="false" customWidth="true" hidden="false" outlineLevel="0" max="3564" min="3564" style="0" width="2.45"/>
    <col collapsed="false" customWidth="true" hidden="false" outlineLevel="0" max="3566" min="3566" style="0" width="2.45"/>
    <col collapsed="false" customWidth="true" hidden="false" outlineLevel="0" max="3567" min="3567" style="0" width="11.73"/>
    <col collapsed="false" customWidth="true" hidden="false" outlineLevel="0" max="3568" min="3568" style="0" width="2.45"/>
    <col collapsed="false" customWidth="true" hidden="false" outlineLevel="0" max="3570" min="3570" style="0" width="4.73"/>
    <col collapsed="false" customWidth="true" hidden="false" outlineLevel="0" max="3571" min="3571" style="0" width="2.45"/>
    <col collapsed="false" customWidth="true" hidden="false" outlineLevel="0" max="3796" min="3796" style="0" width="2.82"/>
    <col collapsed="false" customWidth="true" hidden="false" outlineLevel="0" max="3797" min="3797" style="0" width="2"/>
    <col collapsed="false" customWidth="true" hidden="false" outlineLevel="0" max="3799" min="3799" style="0" width="2"/>
    <col collapsed="false" customWidth="true" hidden="false" outlineLevel="0" max="3801" min="3801" style="0" width="2"/>
    <col collapsed="false" customWidth="true" hidden="false" outlineLevel="0" max="3803" min="3803" style="0" width="2"/>
    <col collapsed="false" customWidth="true" hidden="false" outlineLevel="0" max="3805" min="3805" style="0" width="2"/>
    <col collapsed="false" customWidth="true" hidden="false" outlineLevel="0" max="3806" min="3806" style="0" width="2.82"/>
    <col collapsed="false" customWidth="true" hidden="false" outlineLevel="0" max="3807" min="3807" style="0" width="2.45"/>
    <col collapsed="false" customWidth="true" hidden="false" outlineLevel="0" max="3809" min="3809" style="0" width="2.45"/>
    <col collapsed="false" customWidth="true" hidden="false" outlineLevel="0" max="3811" min="3811" style="0" width="2.45"/>
    <col collapsed="false" customWidth="true" hidden="false" outlineLevel="0" max="3812" min="3812" style="0" width="11.73"/>
    <col collapsed="false" customWidth="true" hidden="false" outlineLevel="0" max="3813" min="3813" style="0" width="2.45"/>
    <col collapsed="false" customWidth="true" hidden="false" outlineLevel="0" max="3815" min="3815" style="0" width="4.73"/>
    <col collapsed="false" customWidth="true" hidden="false" outlineLevel="0" max="3816" min="3816" style="0" width="2.45"/>
    <col collapsed="false" customWidth="true" hidden="false" outlineLevel="0" max="3817" min="3817" style="0" width="4"/>
    <col collapsed="false" customWidth="true" hidden="false" outlineLevel="0" max="3818" min="3818" style="0" width="2.45"/>
    <col collapsed="false" customWidth="true" hidden="false" outlineLevel="0" max="3820" min="3820" style="0" width="2.45"/>
    <col collapsed="false" customWidth="true" hidden="false" outlineLevel="0" max="3822" min="3822" style="0" width="2.45"/>
    <col collapsed="false" customWidth="true" hidden="false" outlineLevel="0" max="3823" min="3823" style="0" width="11.73"/>
    <col collapsed="false" customWidth="true" hidden="false" outlineLevel="0" max="3824" min="3824" style="0" width="2.45"/>
    <col collapsed="false" customWidth="true" hidden="false" outlineLevel="0" max="3826" min="3826" style="0" width="4.73"/>
    <col collapsed="false" customWidth="true" hidden="false" outlineLevel="0" max="3827" min="3827" style="0" width="2.45"/>
    <col collapsed="false" customWidth="true" hidden="false" outlineLevel="0" max="4052" min="4052" style="0" width="2.82"/>
    <col collapsed="false" customWidth="true" hidden="false" outlineLevel="0" max="4053" min="4053" style="0" width="2"/>
    <col collapsed="false" customWidth="true" hidden="false" outlineLevel="0" max="4055" min="4055" style="0" width="2"/>
    <col collapsed="false" customWidth="true" hidden="false" outlineLevel="0" max="4057" min="4057" style="0" width="2"/>
    <col collapsed="false" customWidth="true" hidden="false" outlineLevel="0" max="4059" min="4059" style="0" width="2"/>
    <col collapsed="false" customWidth="true" hidden="false" outlineLevel="0" max="4061" min="4061" style="0" width="2"/>
    <col collapsed="false" customWidth="true" hidden="false" outlineLevel="0" max="4062" min="4062" style="0" width="2.82"/>
    <col collapsed="false" customWidth="true" hidden="false" outlineLevel="0" max="4063" min="4063" style="0" width="2.45"/>
    <col collapsed="false" customWidth="true" hidden="false" outlineLevel="0" max="4065" min="4065" style="0" width="2.45"/>
    <col collapsed="false" customWidth="true" hidden="false" outlineLevel="0" max="4067" min="4067" style="0" width="2.45"/>
    <col collapsed="false" customWidth="true" hidden="false" outlineLevel="0" max="4068" min="4068" style="0" width="11.73"/>
    <col collapsed="false" customWidth="true" hidden="false" outlineLevel="0" max="4069" min="4069" style="0" width="2.45"/>
    <col collapsed="false" customWidth="true" hidden="false" outlineLevel="0" max="4071" min="4071" style="0" width="4.73"/>
    <col collapsed="false" customWidth="true" hidden="false" outlineLevel="0" max="4072" min="4072" style="0" width="2.45"/>
    <col collapsed="false" customWidth="true" hidden="false" outlineLevel="0" max="4073" min="4073" style="0" width="4"/>
    <col collapsed="false" customWidth="true" hidden="false" outlineLevel="0" max="4074" min="4074" style="0" width="2.45"/>
    <col collapsed="false" customWidth="true" hidden="false" outlineLevel="0" max="4076" min="4076" style="0" width="2.45"/>
    <col collapsed="false" customWidth="true" hidden="false" outlineLevel="0" max="4078" min="4078" style="0" width="2.45"/>
    <col collapsed="false" customWidth="true" hidden="false" outlineLevel="0" max="4079" min="4079" style="0" width="11.73"/>
    <col collapsed="false" customWidth="true" hidden="false" outlineLevel="0" max="4080" min="4080" style="0" width="2.45"/>
    <col collapsed="false" customWidth="true" hidden="false" outlineLevel="0" max="4082" min="4082" style="0" width="4.73"/>
    <col collapsed="false" customWidth="true" hidden="false" outlineLevel="0" max="4083" min="4083" style="0" width="2.45"/>
    <col collapsed="false" customWidth="true" hidden="false" outlineLevel="0" max="4308" min="4308" style="0" width="2.82"/>
    <col collapsed="false" customWidth="true" hidden="false" outlineLevel="0" max="4309" min="4309" style="0" width="2"/>
    <col collapsed="false" customWidth="true" hidden="false" outlineLevel="0" max="4311" min="4311" style="0" width="2"/>
    <col collapsed="false" customWidth="true" hidden="false" outlineLevel="0" max="4313" min="4313" style="0" width="2"/>
    <col collapsed="false" customWidth="true" hidden="false" outlineLevel="0" max="4315" min="4315" style="0" width="2"/>
    <col collapsed="false" customWidth="true" hidden="false" outlineLevel="0" max="4317" min="4317" style="0" width="2"/>
    <col collapsed="false" customWidth="true" hidden="false" outlineLevel="0" max="4318" min="4318" style="0" width="2.82"/>
    <col collapsed="false" customWidth="true" hidden="false" outlineLevel="0" max="4319" min="4319" style="0" width="2.45"/>
    <col collapsed="false" customWidth="true" hidden="false" outlineLevel="0" max="4321" min="4321" style="0" width="2.45"/>
    <col collapsed="false" customWidth="true" hidden="false" outlineLevel="0" max="4323" min="4323" style="0" width="2.45"/>
    <col collapsed="false" customWidth="true" hidden="false" outlineLevel="0" max="4324" min="4324" style="0" width="11.73"/>
    <col collapsed="false" customWidth="true" hidden="false" outlineLevel="0" max="4325" min="4325" style="0" width="2.45"/>
    <col collapsed="false" customWidth="true" hidden="false" outlineLevel="0" max="4327" min="4327" style="0" width="4.73"/>
    <col collapsed="false" customWidth="true" hidden="false" outlineLevel="0" max="4328" min="4328" style="0" width="2.45"/>
    <col collapsed="false" customWidth="true" hidden="false" outlineLevel="0" max="4329" min="4329" style="0" width="4"/>
    <col collapsed="false" customWidth="true" hidden="false" outlineLevel="0" max="4330" min="4330" style="0" width="2.45"/>
    <col collapsed="false" customWidth="true" hidden="false" outlineLevel="0" max="4332" min="4332" style="0" width="2.45"/>
    <col collapsed="false" customWidth="true" hidden="false" outlineLevel="0" max="4334" min="4334" style="0" width="2.45"/>
    <col collapsed="false" customWidth="true" hidden="false" outlineLevel="0" max="4335" min="4335" style="0" width="11.73"/>
    <col collapsed="false" customWidth="true" hidden="false" outlineLevel="0" max="4336" min="4336" style="0" width="2.45"/>
    <col collapsed="false" customWidth="true" hidden="false" outlineLevel="0" max="4338" min="4338" style="0" width="4.73"/>
    <col collapsed="false" customWidth="true" hidden="false" outlineLevel="0" max="4339" min="4339" style="0" width="2.45"/>
    <col collapsed="false" customWidth="true" hidden="false" outlineLevel="0" max="4564" min="4564" style="0" width="2.82"/>
    <col collapsed="false" customWidth="true" hidden="false" outlineLevel="0" max="4565" min="4565" style="0" width="2"/>
    <col collapsed="false" customWidth="true" hidden="false" outlineLevel="0" max="4567" min="4567" style="0" width="2"/>
    <col collapsed="false" customWidth="true" hidden="false" outlineLevel="0" max="4569" min="4569" style="0" width="2"/>
    <col collapsed="false" customWidth="true" hidden="false" outlineLevel="0" max="4571" min="4571" style="0" width="2"/>
    <col collapsed="false" customWidth="true" hidden="false" outlineLevel="0" max="4573" min="4573" style="0" width="2"/>
    <col collapsed="false" customWidth="true" hidden="false" outlineLevel="0" max="4574" min="4574" style="0" width="2.82"/>
    <col collapsed="false" customWidth="true" hidden="false" outlineLevel="0" max="4575" min="4575" style="0" width="2.45"/>
    <col collapsed="false" customWidth="true" hidden="false" outlineLevel="0" max="4577" min="4577" style="0" width="2.45"/>
    <col collapsed="false" customWidth="true" hidden="false" outlineLevel="0" max="4579" min="4579" style="0" width="2.45"/>
    <col collapsed="false" customWidth="true" hidden="false" outlineLevel="0" max="4580" min="4580" style="0" width="11.73"/>
    <col collapsed="false" customWidth="true" hidden="false" outlineLevel="0" max="4581" min="4581" style="0" width="2.45"/>
    <col collapsed="false" customWidth="true" hidden="false" outlineLevel="0" max="4583" min="4583" style="0" width="4.73"/>
    <col collapsed="false" customWidth="true" hidden="false" outlineLevel="0" max="4584" min="4584" style="0" width="2.45"/>
    <col collapsed="false" customWidth="true" hidden="false" outlineLevel="0" max="4585" min="4585" style="0" width="4"/>
    <col collapsed="false" customWidth="true" hidden="false" outlineLevel="0" max="4586" min="4586" style="0" width="2.45"/>
    <col collapsed="false" customWidth="true" hidden="false" outlineLevel="0" max="4588" min="4588" style="0" width="2.45"/>
    <col collapsed="false" customWidth="true" hidden="false" outlineLevel="0" max="4590" min="4590" style="0" width="2.45"/>
    <col collapsed="false" customWidth="true" hidden="false" outlineLevel="0" max="4591" min="4591" style="0" width="11.73"/>
    <col collapsed="false" customWidth="true" hidden="false" outlineLevel="0" max="4592" min="4592" style="0" width="2.45"/>
    <col collapsed="false" customWidth="true" hidden="false" outlineLevel="0" max="4594" min="4594" style="0" width="4.73"/>
    <col collapsed="false" customWidth="true" hidden="false" outlineLevel="0" max="4595" min="4595" style="0" width="2.45"/>
    <col collapsed="false" customWidth="true" hidden="false" outlineLevel="0" max="4820" min="4820" style="0" width="2.82"/>
    <col collapsed="false" customWidth="true" hidden="false" outlineLevel="0" max="4821" min="4821" style="0" width="2"/>
    <col collapsed="false" customWidth="true" hidden="false" outlineLevel="0" max="4823" min="4823" style="0" width="2"/>
    <col collapsed="false" customWidth="true" hidden="false" outlineLevel="0" max="4825" min="4825" style="0" width="2"/>
    <col collapsed="false" customWidth="true" hidden="false" outlineLevel="0" max="4827" min="4827" style="0" width="2"/>
    <col collapsed="false" customWidth="true" hidden="false" outlineLevel="0" max="4829" min="4829" style="0" width="2"/>
    <col collapsed="false" customWidth="true" hidden="false" outlineLevel="0" max="4830" min="4830" style="0" width="2.82"/>
    <col collapsed="false" customWidth="true" hidden="false" outlineLevel="0" max="4831" min="4831" style="0" width="2.45"/>
    <col collapsed="false" customWidth="true" hidden="false" outlineLevel="0" max="4833" min="4833" style="0" width="2.45"/>
    <col collapsed="false" customWidth="true" hidden="false" outlineLevel="0" max="4835" min="4835" style="0" width="2.45"/>
    <col collapsed="false" customWidth="true" hidden="false" outlineLevel="0" max="4836" min="4836" style="0" width="11.73"/>
    <col collapsed="false" customWidth="true" hidden="false" outlineLevel="0" max="4837" min="4837" style="0" width="2.45"/>
    <col collapsed="false" customWidth="true" hidden="false" outlineLevel="0" max="4839" min="4839" style="0" width="4.73"/>
    <col collapsed="false" customWidth="true" hidden="false" outlineLevel="0" max="4840" min="4840" style="0" width="2.45"/>
    <col collapsed="false" customWidth="true" hidden="false" outlineLevel="0" max="4841" min="4841" style="0" width="4"/>
    <col collapsed="false" customWidth="true" hidden="false" outlineLevel="0" max="4842" min="4842" style="0" width="2.45"/>
    <col collapsed="false" customWidth="true" hidden="false" outlineLevel="0" max="4844" min="4844" style="0" width="2.45"/>
    <col collapsed="false" customWidth="true" hidden="false" outlineLevel="0" max="4846" min="4846" style="0" width="2.45"/>
    <col collapsed="false" customWidth="true" hidden="false" outlineLevel="0" max="4847" min="4847" style="0" width="11.73"/>
    <col collapsed="false" customWidth="true" hidden="false" outlineLevel="0" max="4848" min="4848" style="0" width="2.45"/>
    <col collapsed="false" customWidth="true" hidden="false" outlineLevel="0" max="4850" min="4850" style="0" width="4.73"/>
    <col collapsed="false" customWidth="true" hidden="false" outlineLevel="0" max="4851" min="4851" style="0" width="2.45"/>
    <col collapsed="false" customWidth="true" hidden="false" outlineLevel="0" max="5076" min="5076" style="0" width="2.82"/>
    <col collapsed="false" customWidth="true" hidden="false" outlineLevel="0" max="5077" min="5077" style="0" width="2"/>
    <col collapsed="false" customWidth="true" hidden="false" outlineLevel="0" max="5079" min="5079" style="0" width="2"/>
    <col collapsed="false" customWidth="true" hidden="false" outlineLevel="0" max="5081" min="5081" style="0" width="2"/>
    <col collapsed="false" customWidth="true" hidden="false" outlineLevel="0" max="5083" min="5083" style="0" width="2"/>
    <col collapsed="false" customWidth="true" hidden="false" outlineLevel="0" max="5085" min="5085" style="0" width="2"/>
    <col collapsed="false" customWidth="true" hidden="false" outlineLevel="0" max="5086" min="5086" style="0" width="2.82"/>
    <col collapsed="false" customWidth="true" hidden="false" outlineLevel="0" max="5087" min="5087" style="0" width="2.45"/>
    <col collapsed="false" customWidth="true" hidden="false" outlineLevel="0" max="5089" min="5089" style="0" width="2.45"/>
    <col collapsed="false" customWidth="true" hidden="false" outlineLevel="0" max="5091" min="5091" style="0" width="2.45"/>
    <col collapsed="false" customWidth="true" hidden="false" outlineLevel="0" max="5092" min="5092" style="0" width="11.73"/>
    <col collapsed="false" customWidth="true" hidden="false" outlineLevel="0" max="5093" min="5093" style="0" width="2.45"/>
    <col collapsed="false" customWidth="true" hidden="false" outlineLevel="0" max="5095" min="5095" style="0" width="4.73"/>
    <col collapsed="false" customWidth="true" hidden="false" outlineLevel="0" max="5096" min="5096" style="0" width="2.45"/>
    <col collapsed="false" customWidth="true" hidden="false" outlineLevel="0" max="5097" min="5097" style="0" width="4"/>
    <col collapsed="false" customWidth="true" hidden="false" outlineLevel="0" max="5098" min="5098" style="0" width="2.45"/>
    <col collapsed="false" customWidth="true" hidden="false" outlineLevel="0" max="5100" min="5100" style="0" width="2.45"/>
    <col collapsed="false" customWidth="true" hidden="false" outlineLevel="0" max="5102" min="5102" style="0" width="2.45"/>
    <col collapsed="false" customWidth="true" hidden="false" outlineLevel="0" max="5103" min="5103" style="0" width="11.73"/>
    <col collapsed="false" customWidth="true" hidden="false" outlineLevel="0" max="5104" min="5104" style="0" width="2.45"/>
    <col collapsed="false" customWidth="true" hidden="false" outlineLevel="0" max="5106" min="5106" style="0" width="4.73"/>
    <col collapsed="false" customWidth="true" hidden="false" outlineLevel="0" max="5107" min="5107" style="0" width="2.45"/>
    <col collapsed="false" customWidth="true" hidden="false" outlineLevel="0" max="5332" min="5332" style="0" width="2.82"/>
    <col collapsed="false" customWidth="true" hidden="false" outlineLevel="0" max="5333" min="5333" style="0" width="2"/>
    <col collapsed="false" customWidth="true" hidden="false" outlineLevel="0" max="5335" min="5335" style="0" width="2"/>
    <col collapsed="false" customWidth="true" hidden="false" outlineLevel="0" max="5337" min="5337" style="0" width="2"/>
    <col collapsed="false" customWidth="true" hidden="false" outlineLevel="0" max="5339" min="5339" style="0" width="2"/>
    <col collapsed="false" customWidth="true" hidden="false" outlineLevel="0" max="5341" min="5341" style="0" width="2"/>
    <col collapsed="false" customWidth="true" hidden="false" outlineLevel="0" max="5342" min="5342" style="0" width="2.82"/>
    <col collapsed="false" customWidth="true" hidden="false" outlineLevel="0" max="5343" min="5343" style="0" width="2.45"/>
    <col collapsed="false" customWidth="true" hidden="false" outlineLevel="0" max="5345" min="5345" style="0" width="2.45"/>
    <col collapsed="false" customWidth="true" hidden="false" outlineLevel="0" max="5347" min="5347" style="0" width="2.45"/>
    <col collapsed="false" customWidth="true" hidden="false" outlineLevel="0" max="5348" min="5348" style="0" width="11.73"/>
    <col collapsed="false" customWidth="true" hidden="false" outlineLevel="0" max="5349" min="5349" style="0" width="2.45"/>
    <col collapsed="false" customWidth="true" hidden="false" outlineLevel="0" max="5351" min="5351" style="0" width="4.73"/>
    <col collapsed="false" customWidth="true" hidden="false" outlineLevel="0" max="5352" min="5352" style="0" width="2.45"/>
    <col collapsed="false" customWidth="true" hidden="false" outlineLevel="0" max="5353" min="5353" style="0" width="4"/>
    <col collapsed="false" customWidth="true" hidden="false" outlineLevel="0" max="5354" min="5354" style="0" width="2.45"/>
    <col collapsed="false" customWidth="true" hidden="false" outlineLevel="0" max="5356" min="5356" style="0" width="2.45"/>
    <col collapsed="false" customWidth="true" hidden="false" outlineLevel="0" max="5358" min="5358" style="0" width="2.45"/>
    <col collapsed="false" customWidth="true" hidden="false" outlineLevel="0" max="5359" min="5359" style="0" width="11.73"/>
    <col collapsed="false" customWidth="true" hidden="false" outlineLevel="0" max="5360" min="5360" style="0" width="2.45"/>
    <col collapsed="false" customWidth="true" hidden="false" outlineLevel="0" max="5362" min="5362" style="0" width="4.73"/>
    <col collapsed="false" customWidth="true" hidden="false" outlineLevel="0" max="5363" min="5363" style="0" width="2.45"/>
    <col collapsed="false" customWidth="true" hidden="false" outlineLevel="0" max="5588" min="5588" style="0" width="2.82"/>
    <col collapsed="false" customWidth="true" hidden="false" outlineLevel="0" max="5589" min="5589" style="0" width="2"/>
    <col collapsed="false" customWidth="true" hidden="false" outlineLevel="0" max="5591" min="5591" style="0" width="2"/>
    <col collapsed="false" customWidth="true" hidden="false" outlineLevel="0" max="5593" min="5593" style="0" width="2"/>
    <col collapsed="false" customWidth="true" hidden="false" outlineLevel="0" max="5595" min="5595" style="0" width="2"/>
    <col collapsed="false" customWidth="true" hidden="false" outlineLevel="0" max="5597" min="5597" style="0" width="2"/>
    <col collapsed="false" customWidth="true" hidden="false" outlineLevel="0" max="5598" min="5598" style="0" width="2.82"/>
    <col collapsed="false" customWidth="true" hidden="false" outlineLevel="0" max="5599" min="5599" style="0" width="2.45"/>
    <col collapsed="false" customWidth="true" hidden="false" outlineLevel="0" max="5601" min="5601" style="0" width="2.45"/>
    <col collapsed="false" customWidth="true" hidden="false" outlineLevel="0" max="5603" min="5603" style="0" width="2.45"/>
    <col collapsed="false" customWidth="true" hidden="false" outlineLevel="0" max="5604" min="5604" style="0" width="11.73"/>
    <col collapsed="false" customWidth="true" hidden="false" outlineLevel="0" max="5605" min="5605" style="0" width="2.45"/>
    <col collapsed="false" customWidth="true" hidden="false" outlineLevel="0" max="5607" min="5607" style="0" width="4.73"/>
    <col collapsed="false" customWidth="true" hidden="false" outlineLevel="0" max="5608" min="5608" style="0" width="2.45"/>
    <col collapsed="false" customWidth="true" hidden="false" outlineLevel="0" max="5609" min="5609" style="0" width="4"/>
    <col collapsed="false" customWidth="true" hidden="false" outlineLevel="0" max="5610" min="5610" style="0" width="2.45"/>
    <col collapsed="false" customWidth="true" hidden="false" outlineLevel="0" max="5612" min="5612" style="0" width="2.45"/>
    <col collapsed="false" customWidth="true" hidden="false" outlineLevel="0" max="5614" min="5614" style="0" width="2.45"/>
    <col collapsed="false" customWidth="true" hidden="false" outlineLevel="0" max="5615" min="5615" style="0" width="11.73"/>
    <col collapsed="false" customWidth="true" hidden="false" outlineLevel="0" max="5616" min="5616" style="0" width="2.45"/>
    <col collapsed="false" customWidth="true" hidden="false" outlineLevel="0" max="5618" min="5618" style="0" width="4.73"/>
    <col collapsed="false" customWidth="true" hidden="false" outlineLevel="0" max="5619" min="5619" style="0" width="2.45"/>
    <col collapsed="false" customWidth="true" hidden="false" outlineLevel="0" max="5844" min="5844" style="0" width="2.82"/>
    <col collapsed="false" customWidth="true" hidden="false" outlineLevel="0" max="5845" min="5845" style="0" width="2"/>
    <col collapsed="false" customWidth="true" hidden="false" outlineLevel="0" max="5847" min="5847" style="0" width="2"/>
    <col collapsed="false" customWidth="true" hidden="false" outlineLevel="0" max="5849" min="5849" style="0" width="2"/>
    <col collapsed="false" customWidth="true" hidden="false" outlineLevel="0" max="5851" min="5851" style="0" width="2"/>
    <col collapsed="false" customWidth="true" hidden="false" outlineLevel="0" max="5853" min="5853" style="0" width="2"/>
    <col collapsed="false" customWidth="true" hidden="false" outlineLevel="0" max="5854" min="5854" style="0" width="2.82"/>
    <col collapsed="false" customWidth="true" hidden="false" outlineLevel="0" max="5855" min="5855" style="0" width="2.45"/>
    <col collapsed="false" customWidth="true" hidden="false" outlineLevel="0" max="5857" min="5857" style="0" width="2.45"/>
    <col collapsed="false" customWidth="true" hidden="false" outlineLevel="0" max="5859" min="5859" style="0" width="2.45"/>
    <col collapsed="false" customWidth="true" hidden="false" outlineLevel="0" max="5860" min="5860" style="0" width="11.73"/>
    <col collapsed="false" customWidth="true" hidden="false" outlineLevel="0" max="5861" min="5861" style="0" width="2.45"/>
    <col collapsed="false" customWidth="true" hidden="false" outlineLevel="0" max="5863" min="5863" style="0" width="4.73"/>
    <col collapsed="false" customWidth="true" hidden="false" outlineLevel="0" max="5864" min="5864" style="0" width="2.45"/>
    <col collapsed="false" customWidth="true" hidden="false" outlineLevel="0" max="5865" min="5865" style="0" width="4"/>
    <col collapsed="false" customWidth="true" hidden="false" outlineLevel="0" max="5866" min="5866" style="0" width="2.45"/>
    <col collapsed="false" customWidth="true" hidden="false" outlineLevel="0" max="5868" min="5868" style="0" width="2.45"/>
    <col collapsed="false" customWidth="true" hidden="false" outlineLevel="0" max="5870" min="5870" style="0" width="2.45"/>
    <col collapsed="false" customWidth="true" hidden="false" outlineLevel="0" max="5871" min="5871" style="0" width="11.73"/>
    <col collapsed="false" customWidth="true" hidden="false" outlineLevel="0" max="5872" min="5872" style="0" width="2.45"/>
    <col collapsed="false" customWidth="true" hidden="false" outlineLevel="0" max="5874" min="5874" style="0" width="4.73"/>
    <col collapsed="false" customWidth="true" hidden="false" outlineLevel="0" max="5875" min="5875" style="0" width="2.45"/>
    <col collapsed="false" customWidth="true" hidden="false" outlineLevel="0" max="6100" min="6100" style="0" width="2.82"/>
    <col collapsed="false" customWidth="true" hidden="false" outlineLevel="0" max="6101" min="6101" style="0" width="2"/>
    <col collapsed="false" customWidth="true" hidden="false" outlineLevel="0" max="6103" min="6103" style="0" width="2"/>
    <col collapsed="false" customWidth="true" hidden="false" outlineLevel="0" max="6105" min="6105" style="0" width="2"/>
    <col collapsed="false" customWidth="true" hidden="false" outlineLevel="0" max="6107" min="6107" style="0" width="2"/>
    <col collapsed="false" customWidth="true" hidden="false" outlineLevel="0" max="6109" min="6109" style="0" width="2"/>
    <col collapsed="false" customWidth="true" hidden="false" outlineLevel="0" max="6110" min="6110" style="0" width="2.82"/>
    <col collapsed="false" customWidth="true" hidden="false" outlineLevel="0" max="6111" min="6111" style="0" width="2.45"/>
    <col collapsed="false" customWidth="true" hidden="false" outlineLevel="0" max="6113" min="6113" style="0" width="2.45"/>
    <col collapsed="false" customWidth="true" hidden="false" outlineLevel="0" max="6115" min="6115" style="0" width="2.45"/>
    <col collapsed="false" customWidth="true" hidden="false" outlineLevel="0" max="6116" min="6116" style="0" width="11.73"/>
    <col collapsed="false" customWidth="true" hidden="false" outlineLevel="0" max="6117" min="6117" style="0" width="2.45"/>
    <col collapsed="false" customWidth="true" hidden="false" outlineLevel="0" max="6119" min="6119" style="0" width="4.73"/>
    <col collapsed="false" customWidth="true" hidden="false" outlineLevel="0" max="6120" min="6120" style="0" width="2.45"/>
    <col collapsed="false" customWidth="true" hidden="false" outlineLevel="0" max="6121" min="6121" style="0" width="4"/>
    <col collapsed="false" customWidth="true" hidden="false" outlineLevel="0" max="6122" min="6122" style="0" width="2.45"/>
    <col collapsed="false" customWidth="true" hidden="false" outlineLevel="0" max="6124" min="6124" style="0" width="2.45"/>
    <col collapsed="false" customWidth="true" hidden="false" outlineLevel="0" max="6126" min="6126" style="0" width="2.45"/>
    <col collapsed="false" customWidth="true" hidden="false" outlineLevel="0" max="6127" min="6127" style="0" width="11.73"/>
    <col collapsed="false" customWidth="true" hidden="false" outlineLevel="0" max="6128" min="6128" style="0" width="2.45"/>
    <col collapsed="false" customWidth="true" hidden="false" outlineLevel="0" max="6130" min="6130" style="0" width="4.73"/>
    <col collapsed="false" customWidth="true" hidden="false" outlineLevel="0" max="6131" min="6131" style="0" width="2.45"/>
    <col collapsed="false" customWidth="true" hidden="false" outlineLevel="0" max="6356" min="6356" style="0" width="2.82"/>
    <col collapsed="false" customWidth="true" hidden="false" outlineLevel="0" max="6357" min="6357" style="0" width="2"/>
    <col collapsed="false" customWidth="true" hidden="false" outlineLevel="0" max="6359" min="6359" style="0" width="2"/>
    <col collapsed="false" customWidth="true" hidden="false" outlineLevel="0" max="6361" min="6361" style="0" width="2"/>
    <col collapsed="false" customWidth="true" hidden="false" outlineLevel="0" max="6363" min="6363" style="0" width="2"/>
    <col collapsed="false" customWidth="true" hidden="false" outlineLevel="0" max="6365" min="6365" style="0" width="2"/>
    <col collapsed="false" customWidth="true" hidden="false" outlineLevel="0" max="6366" min="6366" style="0" width="2.82"/>
    <col collapsed="false" customWidth="true" hidden="false" outlineLevel="0" max="6367" min="6367" style="0" width="2.45"/>
    <col collapsed="false" customWidth="true" hidden="false" outlineLevel="0" max="6369" min="6369" style="0" width="2.45"/>
    <col collapsed="false" customWidth="true" hidden="false" outlineLevel="0" max="6371" min="6371" style="0" width="2.45"/>
    <col collapsed="false" customWidth="true" hidden="false" outlineLevel="0" max="6372" min="6372" style="0" width="11.73"/>
    <col collapsed="false" customWidth="true" hidden="false" outlineLevel="0" max="6373" min="6373" style="0" width="2.45"/>
    <col collapsed="false" customWidth="true" hidden="false" outlineLevel="0" max="6375" min="6375" style="0" width="4.73"/>
    <col collapsed="false" customWidth="true" hidden="false" outlineLevel="0" max="6376" min="6376" style="0" width="2.45"/>
    <col collapsed="false" customWidth="true" hidden="false" outlineLevel="0" max="6377" min="6377" style="0" width="4"/>
    <col collapsed="false" customWidth="true" hidden="false" outlineLevel="0" max="6378" min="6378" style="0" width="2.45"/>
    <col collapsed="false" customWidth="true" hidden="false" outlineLevel="0" max="6380" min="6380" style="0" width="2.45"/>
    <col collapsed="false" customWidth="true" hidden="false" outlineLevel="0" max="6382" min="6382" style="0" width="2.45"/>
    <col collapsed="false" customWidth="true" hidden="false" outlineLevel="0" max="6383" min="6383" style="0" width="11.73"/>
    <col collapsed="false" customWidth="true" hidden="false" outlineLevel="0" max="6384" min="6384" style="0" width="2.45"/>
    <col collapsed="false" customWidth="true" hidden="false" outlineLevel="0" max="6386" min="6386" style="0" width="4.73"/>
    <col collapsed="false" customWidth="true" hidden="false" outlineLevel="0" max="6387" min="6387" style="0" width="2.45"/>
    <col collapsed="false" customWidth="true" hidden="false" outlineLevel="0" max="6612" min="6612" style="0" width="2.82"/>
    <col collapsed="false" customWidth="true" hidden="false" outlineLevel="0" max="6613" min="6613" style="0" width="2"/>
    <col collapsed="false" customWidth="true" hidden="false" outlineLevel="0" max="6615" min="6615" style="0" width="2"/>
    <col collapsed="false" customWidth="true" hidden="false" outlineLevel="0" max="6617" min="6617" style="0" width="2"/>
    <col collapsed="false" customWidth="true" hidden="false" outlineLevel="0" max="6619" min="6619" style="0" width="2"/>
    <col collapsed="false" customWidth="true" hidden="false" outlineLevel="0" max="6621" min="6621" style="0" width="2"/>
    <col collapsed="false" customWidth="true" hidden="false" outlineLevel="0" max="6622" min="6622" style="0" width="2.82"/>
    <col collapsed="false" customWidth="true" hidden="false" outlineLevel="0" max="6623" min="6623" style="0" width="2.45"/>
    <col collapsed="false" customWidth="true" hidden="false" outlineLevel="0" max="6625" min="6625" style="0" width="2.45"/>
    <col collapsed="false" customWidth="true" hidden="false" outlineLevel="0" max="6627" min="6627" style="0" width="2.45"/>
    <col collapsed="false" customWidth="true" hidden="false" outlineLevel="0" max="6628" min="6628" style="0" width="11.73"/>
    <col collapsed="false" customWidth="true" hidden="false" outlineLevel="0" max="6629" min="6629" style="0" width="2.45"/>
    <col collapsed="false" customWidth="true" hidden="false" outlineLevel="0" max="6631" min="6631" style="0" width="4.73"/>
    <col collapsed="false" customWidth="true" hidden="false" outlineLevel="0" max="6632" min="6632" style="0" width="2.45"/>
    <col collapsed="false" customWidth="true" hidden="false" outlineLevel="0" max="6633" min="6633" style="0" width="4"/>
    <col collapsed="false" customWidth="true" hidden="false" outlineLevel="0" max="6634" min="6634" style="0" width="2.45"/>
    <col collapsed="false" customWidth="true" hidden="false" outlineLevel="0" max="6636" min="6636" style="0" width="2.45"/>
    <col collapsed="false" customWidth="true" hidden="false" outlineLevel="0" max="6638" min="6638" style="0" width="2.45"/>
    <col collapsed="false" customWidth="true" hidden="false" outlineLevel="0" max="6639" min="6639" style="0" width="11.73"/>
    <col collapsed="false" customWidth="true" hidden="false" outlineLevel="0" max="6640" min="6640" style="0" width="2.45"/>
    <col collapsed="false" customWidth="true" hidden="false" outlineLevel="0" max="6642" min="6642" style="0" width="4.73"/>
    <col collapsed="false" customWidth="true" hidden="false" outlineLevel="0" max="6643" min="6643" style="0" width="2.45"/>
    <col collapsed="false" customWidth="true" hidden="false" outlineLevel="0" max="6868" min="6868" style="0" width="2.82"/>
    <col collapsed="false" customWidth="true" hidden="false" outlineLevel="0" max="6869" min="6869" style="0" width="2"/>
    <col collapsed="false" customWidth="true" hidden="false" outlineLevel="0" max="6871" min="6871" style="0" width="2"/>
    <col collapsed="false" customWidth="true" hidden="false" outlineLevel="0" max="6873" min="6873" style="0" width="2"/>
    <col collapsed="false" customWidth="true" hidden="false" outlineLevel="0" max="6875" min="6875" style="0" width="2"/>
    <col collapsed="false" customWidth="true" hidden="false" outlineLevel="0" max="6877" min="6877" style="0" width="2"/>
    <col collapsed="false" customWidth="true" hidden="false" outlineLevel="0" max="6878" min="6878" style="0" width="2.82"/>
    <col collapsed="false" customWidth="true" hidden="false" outlineLevel="0" max="6879" min="6879" style="0" width="2.45"/>
    <col collapsed="false" customWidth="true" hidden="false" outlineLevel="0" max="6881" min="6881" style="0" width="2.45"/>
    <col collapsed="false" customWidth="true" hidden="false" outlineLevel="0" max="6883" min="6883" style="0" width="2.45"/>
    <col collapsed="false" customWidth="true" hidden="false" outlineLevel="0" max="6884" min="6884" style="0" width="11.73"/>
    <col collapsed="false" customWidth="true" hidden="false" outlineLevel="0" max="6885" min="6885" style="0" width="2.45"/>
    <col collapsed="false" customWidth="true" hidden="false" outlineLevel="0" max="6887" min="6887" style="0" width="4.73"/>
    <col collapsed="false" customWidth="true" hidden="false" outlineLevel="0" max="6888" min="6888" style="0" width="2.45"/>
    <col collapsed="false" customWidth="true" hidden="false" outlineLevel="0" max="6889" min="6889" style="0" width="4"/>
    <col collapsed="false" customWidth="true" hidden="false" outlineLevel="0" max="6890" min="6890" style="0" width="2.45"/>
    <col collapsed="false" customWidth="true" hidden="false" outlineLevel="0" max="6892" min="6892" style="0" width="2.45"/>
    <col collapsed="false" customWidth="true" hidden="false" outlineLevel="0" max="6894" min="6894" style="0" width="2.45"/>
    <col collapsed="false" customWidth="true" hidden="false" outlineLevel="0" max="6895" min="6895" style="0" width="11.73"/>
    <col collapsed="false" customWidth="true" hidden="false" outlineLevel="0" max="6896" min="6896" style="0" width="2.45"/>
    <col collapsed="false" customWidth="true" hidden="false" outlineLevel="0" max="6898" min="6898" style="0" width="4.73"/>
    <col collapsed="false" customWidth="true" hidden="false" outlineLevel="0" max="6899" min="6899" style="0" width="2.45"/>
    <col collapsed="false" customWidth="true" hidden="false" outlineLevel="0" max="7124" min="7124" style="0" width="2.82"/>
    <col collapsed="false" customWidth="true" hidden="false" outlineLevel="0" max="7125" min="7125" style="0" width="2"/>
    <col collapsed="false" customWidth="true" hidden="false" outlineLevel="0" max="7127" min="7127" style="0" width="2"/>
    <col collapsed="false" customWidth="true" hidden="false" outlineLevel="0" max="7129" min="7129" style="0" width="2"/>
    <col collapsed="false" customWidth="true" hidden="false" outlineLevel="0" max="7131" min="7131" style="0" width="2"/>
    <col collapsed="false" customWidth="true" hidden="false" outlineLevel="0" max="7133" min="7133" style="0" width="2"/>
    <col collapsed="false" customWidth="true" hidden="false" outlineLevel="0" max="7134" min="7134" style="0" width="2.82"/>
    <col collapsed="false" customWidth="true" hidden="false" outlineLevel="0" max="7135" min="7135" style="0" width="2.45"/>
    <col collapsed="false" customWidth="true" hidden="false" outlineLevel="0" max="7137" min="7137" style="0" width="2.45"/>
    <col collapsed="false" customWidth="true" hidden="false" outlineLevel="0" max="7139" min="7139" style="0" width="2.45"/>
    <col collapsed="false" customWidth="true" hidden="false" outlineLevel="0" max="7140" min="7140" style="0" width="11.73"/>
    <col collapsed="false" customWidth="true" hidden="false" outlineLevel="0" max="7141" min="7141" style="0" width="2.45"/>
    <col collapsed="false" customWidth="true" hidden="false" outlineLevel="0" max="7143" min="7143" style="0" width="4.73"/>
    <col collapsed="false" customWidth="true" hidden="false" outlineLevel="0" max="7144" min="7144" style="0" width="2.45"/>
    <col collapsed="false" customWidth="true" hidden="false" outlineLevel="0" max="7145" min="7145" style="0" width="4"/>
    <col collapsed="false" customWidth="true" hidden="false" outlineLevel="0" max="7146" min="7146" style="0" width="2.45"/>
    <col collapsed="false" customWidth="true" hidden="false" outlineLevel="0" max="7148" min="7148" style="0" width="2.45"/>
    <col collapsed="false" customWidth="true" hidden="false" outlineLevel="0" max="7150" min="7150" style="0" width="2.45"/>
    <col collapsed="false" customWidth="true" hidden="false" outlineLevel="0" max="7151" min="7151" style="0" width="11.73"/>
    <col collapsed="false" customWidth="true" hidden="false" outlineLevel="0" max="7152" min="7152" style="0" width="2.45"/>
    <col collapsed="false" customWidth="true" hidden="false" outlineLevel="0" max="7154" min="7154" style="0" width="4.73"/>
    <col collapsed="false" customWidth="true" hidden="false" outlineLevel="0" max="7155" min="7155" style="0" width="2.45"/>
    <col collapsed="false" customWidth="true" hidden="false" outlineLevel="0" max="7380" min="7380" style="0" width="2.82"/>
    <col collapsed="false" customWidth="true" hidden="false" outlineLevel="0" max="7381" min="7381" style="0" width="2"/>
    <col collapsed="false" customWidth="true" hidden="false" outlineLevel="0" max="7383" min="7383" style="0" width="2"/>
    <col collapsed="false" customWidth="true" hidden="false" outlineLevel="0" max="7385" min="7385" style="0" width="2"/>
    <col collapsed="false" customWidth="true" hidden="false" outlineLevel="0" max="7387" min="7387" style="0" width="2"/>
    <col collapsed="false" customWidth="true" hidden="false" outlineLevel="0" max="7389" min="7389" style="0" width="2"/>
    <col collapsed="false" customWidth="true" hidden="false" outlineLevel="0" max="7390" min="7390" style="0" width="2.82"/>
    <col collapsed="false" customWidth="true" hidden="false" outlineLevel="0" max="7391" min="7391" style="0" width="2.45"/>
    <col collapsed="false" customWidth="true" hidden="false" outlineLevel="0" max="7393" min="7393" style="0" width="2.45"/>
    <col collapsed="false" customWidth="true" hidden="false" outlineLevel="0" max="7395" min="7395" style="0" width="2.45"/>
    <col collapsed="false" customWidth="true" hidden="false" outlineLevel="0" max="7396" min="7396" style="0" width="11.73"/>
    <col collapsed="false" customWidth="true" hidden="false" outlineLevel="0" max="7397" min="7397" style="0" width="2.45"/>
    <col collapsed="false" customWidth="true" hidden="false" outlineLevel="0" max="7399" min="7399" style="0" width="4.73"/>
    <col collapsed="false" customWidth="true" hidden="false" outlineLevel="0" max="7400" min="7400" style="0" width="2.45"/>
    <col collapsed="false" customWidth="true" hidden="false" outlineLevel="0" max="7401" min="7401" style="0" width="4"/>
    <col collapsed="false" customWidth="true" hidden="false" outlineLevel="0" max="7402" min="7402" style="0" width="2.45"/>
    <col collapsed="false" customWidth="true" hidden="false" outlineLevel="0" max="7404" min="7404" style="0" width="2.45"/>
    <col collapsed="false" customWidth="true" hidden="false" outlineLevel="0" max="7406" min="7406" style="0" width="2.45"/>
    <col collapsed="false" customWidth="true" hidden="false" outlineLevel="0" max="7407" min="7407" style="0" width="11.73"/>
    <col collapsed="false" customWidth="true" hidden="false" outlineLevel="0" max="7408" min="7408" style="0" width="2.45"/>
    <col collapsed="false" customWidth="true" hidden="false" outlineLevel="0" max="7410" min="7410" style="0" width="4.73"/>
    <col collapsed="false" customWidth="true" hidden="false" outlineLevel="0" max="7411" min="7411" style="0" width="2.45"/>
    <col collapsed="false" customWidth="true" hidden="false" outlineLevel="0" max="7636" min="7636" style="0" width="2.82"/>
    <col collapsed="false" customWidth="true" hidden="false" outlineLevel="0" max="7637" min="7637" style="0" width="2"/>
    <col collapsed="false" customWidth="true" hidden="false" outlineLevel="0" max="7639" min="7639" style="0" width="2"/>
    <col collapsed="false" customWidth="true" hidden="false" outlineLevel="0" max="7641" min="7641" style="0" width="2"/>
    <col collapsed="false" customWidth="true" hidden="false" outlineLevel="0" max="7643" min="7643" style="0" width="2"/>
    <col collapsed="false" customWidth="true" hidden="false" outlineLevel="0" max="7645" min="7645" style="0" width="2"/>
    <col collapsed="false" customWidth="true" hidden="false" outlineLevel="0" max="7646" min="7646" style="0" width="2.82"/>
    <col collapsed="false" customWidth="true" hidden="false" outlineLevel="0" max="7647" min="7647" style="0" width="2.45"/>
    <col collapsed="false" customWidth="true" hidden="false" outlineLevel="0" max="7649" min="7649" style="0" width="2.45"/>
    <col collapsed="false" customWidth="true" hidden="false" outlineLevel="0" max="7651" min="7651" style="0" width="2.45"/>
    <col collapsed="false" customWidth="true" hidden="false" outlineLevel="0" max="7652" min="7652" style="0" width="11.73"/>
    <col collapsed="false" customWidth="true" hidden="false" outlineLevel="0" max="7653" min="7653" style="0" width="2.45"/>
    <col collapsed="false" customWidth="true" hidden="false" outlineLevel="0" max="7655" min="7655" style="0" width="4.73"/>
    <col collapsed="false" customWidth="true" hidden="false" outlineLevel="0" max="7656" min="7656" style="0" width="2.45"/>
    <col collapsed="false" customWidth="true" hidden="false" outlineLevel="0" max="7657" min="7657" style="0" width="4"/>
    <col collapsed="false" customWidth="true" hidden="false" outlineLevel="0" max="7658" min="7658" style="0" width="2.45"/>
    <col collapsed="false" customWidth="true" hidden="false" outlineLevel="0" max="7660" min="7660" style="0" width="2.45"/>
    <col collapsed="false" customWidth="true" hidden="false" outlineLevel="0" max="7662" min="7662" style="0" width="2.45"/>
    <col collapsed="false" customWidth="true" hidden="false" outlineLevel="0" max="7663" min="7663" style="0" width="11.73"/>
    <col collapsed="false" customWidth="true" hidden="false" outlineLevel="0" max="7664" min="7664" style="0" width="2.45"/>
    <col collapsed="false" customWidth="true" hidden="false" outlineLevel="0" max="7666" min="7666" style="0" width="4.73"/>
    <col collapsed="false" customWidth="true" hidden="false" outlineLevel="0" max="7667" min="7667" style="0" width="2.45"/>
    <col collapsed="false" customWidth="true" hidden="false" outlineLevel="0" max="7892" min="7892" style="0" width="2.82"/>
    <col collapsed="false" customWidth="true" hidden="false" outlineLevel="0" max="7893" min="7893" style="0" width="2"/>
    <col collapsed="false" customWidth="true" hidden="false" outlineLevel="0" max="7895" min="7895" style="0" width="2"/>
    <col collapsed="false" customWidth="true" hidden="false" outlineLevel="0" max="7897" min="7897" style="0" width="2"/>
    <col collapsed="false" customWidth="true" hidden="false" outlineLevel="0" max="7899" min="7899" style="0" width="2"/>
    <col collapsed="false" customWidth="true" hidden="false" outlineLevel="0" max="7901" min="7901" style="0" width="2"/>
    <col collapsed="false" customWidth="true" hidden="false" outlineLevel="0" max="7902" min="7902" style="0" width="2.82"/>
    <col collapsed="false" customWidth="true" hidden="false" outlineLevel="0" max="7903" min="7903" style="0" width="2.45"/>
    <col collapsed="false" customWidth="true" hidden="false" outlineLevel="0" max="7905" min="7905" style="0" width="2.45"/>
    <col collapsed="false" customWidth="true" hidden="false" outlineLevel="0" max="7907" min="7907" style="0" width="2.45"/>
    <col collapsed="false" customWidth="true" hidden="false" outlineLevel="0" max="7908" min="7908" style="0" width="11.73"/>
    <col collapsed="false" customWidth="true" hidden="false" outlineLevel="0" max="7909" min="7909" style="0" width="2.45"/>
    <col collapsed="false" customWidth="true" hidden="false" outlineLevel="0" max="7911" min="7911" style="0" width="4.73"/>
    <col collapsed="false" customWidth="true" hidden="false" outlineLevel="0" max="7912" min="7912" style="0" width="2.45"/>
    <col collapsed="false" customWidth="true" hidden="false" outlineLevel="0" max="7913" min="7913" style="0" width="4"/>
    <col collapsed="false" customWidth="true" hidden="false" outlineLevel="0" max="7914" min="7914" style="0" width="2.45"/>
    <col collapsed="false" customWidth="true" hidden="false" outlineLevel="0" max="7916" min="7916" style="0" width="2.45"/>
    <col collapsed="false" customWidth="true" hidden="false" outlineLevel="0" max="7918" min="7918" style="0" width="2.45"/>
    <col collapsed="false" customWidth="true" hidden="false" outlineLevel="0" max="7919" min="7919" style="0" width="11.73"/>
    <col collapsed="false" customWidth="true" hidden="false" outlineLevel="0" max="7920" min="7920" style="0" width="2.45"/>
    <col collapsed="false" customWidth="true" hidden="false" outlineLevel="0" max="7922" min="7922" style="0" width="4.73"/>
    <col collapsed="false" customWidth="true" hidden="false" outlineLevel="0" max="7923" min="7923" style="0" width="2.45"/>
    <col collapsed="false" customWidth="true" hidden="false" outlineLevel="0" max="8148" min="8148" style="0" width="2.82"/>
    <col collapsed="false" customWidth="true" hidden="false" outlineLevel="0" max="8149" min="8149" style="0" width="2"/>
    <col collapsed="false" customWidth="true" hidden="false" outlineLevel="0" max="8151" min="8151" style="0" width="2"/>
    <col collapsed="false" customWidth="true" hidden="false" outlineLevel="0" max="8153" min="8153" style="0" width="2"/>
    <col collapsed="false" customWidth="true" hidden="false" outlineLevel="0" max="8155" min="8155" style="0" width="2"/>
    <col collapsed="false" customWidth="true" hidden="false" outlineLevel="0" max="8157" min="8157" style="0" width="2"/>
    <col collapsed="false" customWidth="true" hidden="false" outlineLevel="0" max="8158" min="8158" style="0" width="2.82"/>
    <col collapsed="false" customWidth="true" hidden="false" outlineLevel="0" max="8159" min="8159" style="0" width="2.45"/>
    <col collapsed="false" customWidth="true" hidden="false" outlineLevel="0" max="8161" min="8161" style="0" width="2.45"/>
    <col collapsed="false" customWidth="true" hidden="false" outlineLevel="0" max="8163" min="8163" style="0" width="2.45"/>
    <col collapsed="false" customWidth="true" hidden="false" outlineLevel="0" max="8164" min="8164" style="0" width="11.73"/>
    <col collapsed="false" customWidth="true" hidden="false" outlineLevel="0" max="8165" min="8165" style="0" width="2.45"/>
    <col collapsed="false" customWidth="true" hidden="false" outlineLevel="0" max="8167" min="8167" style="0" width="4.73"/>
    <col collapsed="false" customWidth="true" hidden="false" outlineLevel="0" max="8168" min="8168" style="0" width="2.45"/>
    <col collapsed="false" customWidth="true" hidden="false" outlineLevel="0" max="8169" min="8169" style="0" width="4"/>
    <col collapsed="false" customWidth="true" hidden="false" outlineLevel="0" max="8170" min="8170" style="0" width="2.45"/>
    <col collapsed="false" customWidth="true" hidden="false" outlineLevel="0" max="8172" min="8172" style="0" width="2.45"/>
    <col collapsed="false" customWidth="true" hidden="false" outlineLevel="0" max="8174" min="8174" style="0" width="2.45"/>
    <col collapsed="false" customWidth="true" hidden="false" outlineLevel="0" max="8175" min="8175" style="0" width="11.73"/>
    <col collapsed="false" customWidth="true" hidden="false" outlineLevel="0" max="8176" min="8176" style="0" width="2.45"/>
    <col collapsed="false" customWidth="true" hidden="false" outlineLevel="0" max="8178" min="8178" style="0" width="4.73"/>
    <col collapsed="false" customWidth="true" hidden="false" outlineLevel="0" max="8179" min="8179" style="0" width="2.45"/>
    <col collapsed="false" customWidth="true" hidden="false" outlineLevel="0" max="8404" min="8404" style="0" width="2.82"/>
    <col collapsed="false" customWidth="true" hidden="false" outlineLevel="0" max="8405" min="8405" style="0" width="2"/>
    <col collapsed="false" customWidth="true" hidden="false" outlineLevel="0" max="8407" min="8407" style="0" width="2"/>
    <col collapsed="false" customWidth="true" hidden="false" outlineLevel="0" max="8409" min="8409" style="0" width="2"/>
    <col collapsed="false" customWidth="true" hidden="false" outlineLevel="0" max="8411" min="8411" style="0" width="2"/>
    <col collapsed="false" customWidth="true" hidden="false" outlineLevel="0" max="8413" min="8413" style="0" width="2"/>
    <col collapsed="false" customWidth="true" hidden="false" outlineLevel="0" max="8414" min="8414" style="0" width="2.82"/>
    <col collapsed="false" customWidth="true" hidden="false" outlineLevel="0" max="8415" min="8415" style="0" width="2.45"/>
    <col collapsed="false" customWidth="true" hidden="false" outlineLevel="0" max="8417" min="8417" style="0" width="2.45"/>
    <col collapsed="false" customWidth="true" hidden="false" outlineLevel="0" max="8419" min="8419" style="0" width="2.45"/>
    <col collapsed="false" customWidth="true" hidden="false" outlineLevel="0" max="8420" min="8420" style="0" width="11.73"/>
    <col collapsed="false" customWidth="true" hidden="false" outlineLevel="0" max="8421" min="8421" style="0" width="2.45"/>
    <col collapsed="false" customWidth="true" hidden="false" outlineLevel="0" max="8423" min="8423" style="0" width="4.73"/>
    <col collapsed="false" customWidth="true" hidden="false" outlineLevel="0" max="8424" min="8424" style="0" width="2.45"/>
    <col collapsed="false" customWidth="true" hidden="false" outlineLevel="0" max="8425" min="8425" style="0" width="4"/>
    <col collapsed="false" customWidth="true" hidden="false" outlineLevel="0" max="8426" min="8426" style="0" width="2.45"/>
    <col collapsed="false" customWidth="true" hidden="false" outlineLevel="0" max="8428" min="8428" style="0" width="2.45"/>
    <col collapsed="false" customWidth="true" hidden="false" outlineLevel="0" max="8430" min="8430" style="0" width="2.45"/>
    <col collapsed="false" customWidth="true" hidden="false" outlineLevel="0" max="8431" min="8431" style="0" width="11.73"/>
    <col collapsed="false" customWidth="true" hidden="false" outlineLevel="0" max="8432" min="8432" style="0" width="2.45"/>
    <col collapsed="false" customWidth="true" hidden="false" outlineLevel="0" max="8434" min="8434" style="0" width="4.73"/>
    <col collapsed="false" customWidth="true" hidden="false" outlineLevel="0" max="8435" min="8435" style="0" width="2.45"/>
    <col collapsed="false" customWidth="true" hidden="false" outlineLevel="0" max="8660" min="8660" style="0" width="2.82"/>
    <col collapsed="false" customWidth="true" hidden="false" outlineLevel="0" max="8661" min="8661" style="0" width="2"/>
    <col collapsed="false" customWidth="true" hidden="false" outlineLevel="0" max="8663" min="8663" style="0" width="2"/>
    <col collapsed="false" customWidth="true" hidden="false" outlineLevel="0" max="8665" min="8665" style="0" width="2"/>
    <col collapsed="false" customWidth="true" hidden="false" outlineLevel="0" max="8667" min="8667" style="0" width="2"/>
    <col collapsed="false" customWidth="true" hidden="false" outlineLevel="0" max="8669" min="8669" style="0" width="2"/>
    <col collapsed="false" customWidth="true" hidden="false" outlineLevel="0" max="8670" min="8670" style="0" width="2.82"/>
    <col collapsed="false" customWidth="true" hidden="false" outlineLevel="0" max="8671" min="8671" style="0" width="2.45"/>
    <col collapsed="false" customWidth="true" hidden="false" outlineLevel="0" max="8673" min="8673" style="0" width="2.45"/>
    <col collapsed="false" customWidth="true" hidden="false" outlineLevel="0" max="8675" min="8675" style="0" width="2.45"/>
    <col collapsed="false" customWidth="true" hidden="false" outlineLevel="0" max="8676" min="8676" style="0" width="11.73"/>
    <col collapsed="false" customWidth="true" hidden="false" outlineLevel="0" max="8677" min="8677" style="0" width="2.45"/>
    <col collapsed="false" customWidth="true" hidden="false" outlineLevel="0" max="8679" min="8679" style="0" width="4.73"/>
    <col collapsed="false" customWidth="true" hidden="false" outlineLevel="0" max="8680" min="8680" style="0" width="2.45"/>
    <col collapsed="false" customWidth="true" hidden="false" outlineLevel="0" max="8681" min="8681" style="0" width="4"/>
    <col collapsed="false" customWidth="true" hidden="false" outlineLevel="0" max="8682" min="8682" style="0" width="2.45"/>
    <col collapsed="false" customWidth="true" hidden="false" outlineLevel="0" max="8684" min="8684" style="0" width="2.45"/>
    <col collapsed="false" customWidth="true" hidden="false" outlineLevel="0" max="8686" min="8686" style="0" width="2.45"/>
    <col collapsed="false" customWidth="true" hidden="false" outlineLevel="0" max="8687" min="8687" style="0" width="11.73"/>
    <col collapsed="false" customWidth="true" hidden="false" outlineLevel="0" max="8688" min="8688" style="0" width="2.45"/>
    <col collapsed="false" customWidth="true" hidden="false" outlineLevel="0" max="8690" min="8690" style="0" width="4.73"/>
    <col collapsed="false" customWidth="true" hidden="false" outlineLevel="0" max="8691" min="8691" style="0" width="2.45"/>
    <col collapsed="false" customWidth="true" hidden="false" outlineLevel="0" max="8916" min="8916" style="0" width="2.82"/>
    <col collapsed="false" customWidth="true" hidden="false" outlineLevel="0" max="8917" min="8917" style="0" width="2"/>
    <col collapsed="false" customWidth="true" hidden="false" outlineLevel="0" max="8919" min="8919" style="0" width="2"/>
    <col collapsed="false" customWidth="true" hidden="false" outlineLevel="0" max="8921" min="8921" style="0" width="2"/>
    <col collapsed="false" customWidth="true" hidden="false" outlineLevel="0" max="8923" min="8923" style="0" width="2"/>
    <col collapsed="false" customWidth="true" hidden="false" outlineLevel="0" max="8925" min="8925" style="0" width="2"/>
    <col collapsed="false" customWidth="true" hidden="false" outlineLevel="0" max="8926" min="8926" style="0" width="2.82"/>
    <col collapsed="false" customWidth="true" hidden="false" outlineLevel="0" max="8927" min="8927" style="0" width="2.45"/>
    <col collapsed="false" customWidth="true" hidden="false" outlineLevel="0" max="8929" min="8929" style="0" width="2.45"/>
    <col collapsed="false" customWidth="true" hidden="false" outlineLevel="0" max="8931" min="8931" style="0" width="2.45"/>
    <col collapsed="false" customWidth="true" hidden="false" outlineLevel="0" max="8932" min="8932" style="0" width="11.73"/>
    <col collapsed="false" customWidth="true" hidden="false" outlineLevel="0" max="8933" min="8933" style="0" width="2.45"/>
    <col collapsed="false" customWidth="true" hidden="false" outlineLevel="0" max="8935" min="8935" style="0" width="4.73"/>
    <col collapsed="false" customWidth="true" hidden="false" outlineLevel="0" max="8936" min="8936" style="0" width="2.45"/>
    <col collapsed="false" customWidth="true" hidden="false" outlineLevel="0" max="8937" min="8937" style="0" width="4"/>
    <col collapsed="false" customWidth="true" hidden="false" outlineLevel="0" max="8938" min="8938" style="0" width="2.45"/>
    <col collapsed="false" customWidth="true" hidden="false" outlineLevel="0" max="8940" min="8940" style="0" width="2.45"/>
    <col collapsed="false" customWidth="true" hidden="false" outlineLevel="0" max="8942" min="8942" style="0" width="2.45"/>
    <col collapsed="false" customWidth="true" hidden="false" outlineLevel="0" max="8943" min="8943" style="0" width="11.73"/>
    <col collapsed="false" customWidth="true" hidden="false" outlineLevel="0" max="8944" min="8944" style="0" width="2.45"/>
    <col collapsed="false" customWidth="true" hidden="false" outlineLevel="0" max="8946" min="8946" style="0" width="4.73"/>
    <col collapsed="false" customWidth="true" hidden="false" outlineLevel="0" max="8947" min="8947" style="0" width="2.45"/>
    <col collapsed="false" customWidth="true" hidden="false" outlineLevel="0" max="9172" min="9172" style="0" width="2.82"/>
    <col collapsed="false" customWidth="true" hidden="false" outlineLevel="0" max="9173" min="9173" style="0" width="2"/>
    <col collapsed="false" customWidth="true" hidden="false" outlineLevel="0" max="9175" min="9175" style="0" width="2"/>
    <col collapsed="false" customWidth="true" hidden="false" outlineLevel="0" max="9177" min="9177" style="0" width="2"/>
    <col collapsed="false" customWidth="true" hidden="false" outlineLevel="0" max="9179" min="9179" style="0" width="2"/>
    <col collapsed="false" customWidth="true" hidden="false" outlineLevel="0" max="9181" min="9181" style="0" width="2"/>
    <col collapsed="false" customWidth="true" hidden="false" outlineLevel="0" max="9182" min="9182" style="0" width="2.82"/>
    <col collapsed="false" customWidth="true" hidden="false" outlineLevel="0" max="9183" min="9183" style="0" width="2.45"/>
    <col collapsed="false" customWidth="true" hidden="false" outlineLevel="0" max="9185" min="9185" style="0" width="2.45"/>
    <col collapsed="false" customWidth="true" hidden="false" outlineLevel="0" max="9187" min="9187" style="0" width="2.45"/>
    <col collapsed="false" customWidth="true" hidden="false" outlineLevel="0" max="9188" min="9188" style="0" width="11.73"/>
    <col collapsed="false" customWidth="true" hidden="false" outlineLevel="0" max="9189" min="9189" style="0" width="2.45"/>
    <col collapsed="false" customWidth="true" hidden="false" outlineLevel="0" max="9191" min="9191" style="0" width="4.73"/>
    <col collapsed="false" customWidth="true" hidden="false" outlineLevel="0" max="9192" min="9192" style="0" width="2.45"/>
    <col collapsed="false" customWidth="true" hidden="false" outlineLevel="0" max="9193" min="9193" style="0" width="4"/>
    <col collapsed="false" customWidth="true" hidden="false" outlineLevel="0" max="9194" min="9194" style="0" width="2.45"/>
    <col collapsed="false" customWidth="true" hidden="false" outlineLevel="0" max="9196" min="9196" style="0" width="2.45"/>
    <col collapsed="false" customWidth="true" hidden="false" outlineLevel="0" max="9198" min="9198" style="0" width="2.45"/>
    <col collapsed="false" customWidth="true" hidden="false" outlineLevel="0" max="9199" min="9199" style="0" width="11.73"/>
    <col collapsed="false" customWidth="true" hidden="false" outlineLevel="0" max="9200" min="9200" style="0" width="2.45"/>
    <col collapsed="false" customWidth="true" hidden="false" outlineLevel="0" max="9202" min="9202" style="0" width="4.73"/>
    <col collapsed="false" customWidth="true" hidden="false" outlineLevel="0" max="9203" min="9203" style="0" width="2.45"/>
    <col collapsed="false" customWidth="true" hidden="false" outlineLevel="0" max="9428" min="9428" style="0" width="2.82"/>
    <col collapsed="false" customWidth="true" hidden="false" outlineLevel="0" max="9429" min="9429" style="0" width="2"/>
    <col collapsed="false" customWidth="true" hidden="false" outlineLevel="0" max="9431" min="9431" style="0" width="2"/>
    <col collapsed="false" customWidth="true" hidden="false" outlineLevel="0" max="9433" min="9433" style="0" width="2"/>
    <col collapsed="false" customWidth="true" hidden="false" outlineLevel="0" max="9435" min="9435" style="0" width="2"/>
    <col collapsed="false" customWidth="true" hidden="false" outlineLevel="0" max="9437" min="9437" style="0" width="2"/>
    <col collapsed="false" customWidth="true" hidden="false" outlineLevel="0" max="9438" min="9438" style="0" width="2.82"/>
    <col collapsed="false" customWidth="true" hidden="false" outlineLevel="0" max="9439" min="9439" style="0" width="2.45"/>
    <col collapsed="false" customWidth="true" hidden="false" outlineLevel="0" max="9441" min="9441" style="0" width="2.45"/>
    <col collapsed="false" customWidth="true" hidden="false" outlineLevel="0" max="9443" min="9443" style="0" width="2.45"/>
    <col collapsed="false" customWidth="true" hidden="false" outlineLevel="0" max="9444" min="9444" style="0" width="11.73"/>
    <col collapsed="false" customWidth="true" hidden="false" outlineLevel="0" max="9445" min="9445" style="0" width="2.45"/>
    <col collapsed="false" customWidth="true" hidden="false" outlineLevel="0" max="9447" min="9447" style="0" width="4.73"/>
    <col collapsed="false" customWidth="true" hidden="false" outlineLevel="0" max="9448" min="9448" style="0" width="2.45"/>
    <col collapsed="false" customWidth="true" hidden="false" outlineLevel="0" max="9449" min="9449" style="0" width="4"/>
    <col collapsed="false" customWidth="true" hidden="false" outlineLevel="0" max="9450" min="9450" style="0" width="2.45"/>
    <col collapsed="false" customWidth="true" hidden="false" outlineLevel="0" max="9452" min="9452" style="0" width="2.45"/>
    <col collapsed="false" customWidth="true" hidden="false" outlineLevel="0" max="9454" min="9454" style="0" width="2.45"/>
    <col collapsed="false" customWidth="true" hidden="false" outlineLevel="0" max="9455" min="9455" style="0" width="11.73"/>
    <col collapsed="false" customWidth="true" hidden="false" outlineLevel="0" max="9456" min="9456" style="0" width="2.45"/>
    <col collapsed="false" customWidth="true" hidden="false" outlineLevel="0" max="9458" min="9458" style="0" width="4.73"/>
    <col collapsed="false" customWidth="true" hidden="false" outlineLevel="0" max="9459" min="9459" style="0" width="2.45"/>
    <col collapsed="false" customWidth="true" hidden="false" outlineLevel="0" max="9684" min="9684" style="0" width="2.82"/>
    <col collapsed="false" customWidth="true" hidden="false" outlineLevel="0" max="9685" min="9685" style="0" width="2"/>
    <col collapsed="false" customWidth="true" hidden="false" outlineLevel="0" max="9687" min="9687" style="0" width="2"/>
    <col collapsed="false" customWidth="true" hidden="false" outlineLevel="0" max="9689" min="9689" style="0" width="2"/>
    <col collapsed="false" customWidth="true" hidden="false" outlineLevel="0" max="9691" min="9691" style="0" width="2"/>
    <col collapsed="false" customWidth="true" hidden="false" outlineLevel="0" max="9693" min="9693" style="0" width="2"/>
    <col collapsed="false" customWidth="true" hidden="false" outlineLevel="0" max="9694" min="9694" style="0" width="2.82"/>
    <col collapsed="false" customWidth="true" hidden="false" outlineLevel="0" max="9695" min="9695" style="0" width="2.45"/>
    <col collapsed="false" customWidth="true" hidden="false" outlineLevel="0" max="9697" min="9697" style="0" width="2.45"/>
    <col collapsed="false" customWidth="true" hidden="false" outlineLevel="0" max="9699" min="9699" style="0" width="2.45"/>
    <col collapsed="false" customWidth="true" hidden="false" outlineLevel="0" max="9700" min="9700" style="0" width="11.73"/>
    <col collapsed="false" customWidth="true" hidden="false" outlineLevel="0" max="9701" min="9701" style="0" width="2.45"/>
    <col collapsed="false" customWidth="true" hidden="false" outlineLevel="0" max="9703" min="9703" style="0" width="4.73"/>
    <col collapsed="false" customWidth="true" hidden="false" outlineLevel="0" max="9704" min="9704" style="0" width="2.45"/>
    <col collapsed="false" customWidth="true" hidden="false" outlineLevel="0" max="9705" min="9705" style="0" width="4"/>
    <col collapsed="false" customWidth="true" hidden="false" outlineLevel="0" max="9706" min="9706" style="0" width="2.45"/>
    <col collapsed="false" customWidth="true" hidden="false" outlineLevel="0" max="9708" min="9708" style="0" width="2.45"/>
    <col collapsed="false" customWidth="true" hidden="false" outlineLevel="0" max="9710" min="9710" style="0" width="2.45"/>
    <col collapsed="false" customWidth="true" hidden="false" outlineLevel="0" max="9711" min="9711" style="0" width="11.73"/>
    <col collapsed="false" customWidth="true" hidden="false" outlineLevel="0" max="9712" min="9712" style="0" width="2.45"/>
    <col collapsed="false" customWidth="true" hidden="false" outlineLevel="0" max="9714" min="9714" style="0" width="4.73"/>
    <col collapsed="false" customWidth="true" hidden="false" outlineLevel="0" max="9715" min="9715" style="0" width="2.45"/>
    <col collapsed="false" customWidth="true" hidden="false" outlineLevel="0" max="9940" min="9940" style="0" width="2.82"/>
    <col collapsed="false" customWidth="true" hidden="false" outlineLevel="0" max="9941" min="9941" style="0" width="2"/>
    <col collapsed="false" customWidth="true" hidden="false" outlineLevel="0" max="9943" min="9943" style="0" width="2"/>
    <col collapsed="false" customWidth="true" hidden="false" outlineLevel="0" max="9945" min="9945" style="0" width="2"/>
    <col collapsed="false" customWidth="true" hidden="false" outlineLevel="0" max="9947" min="9947" style="0" width="2"/>
    <col collapsed="false" customWidth="true" hidden="false" outlineLevel="0" max="9949" min="9949" style="0" width="2"/>
    <col collapsed="false" customWidth="true" hidden="false" outlineLevel="0" max="9950" min="9950" style="0" width="2.82"/>
    <col collapsed="false" customWidth="true" hidden="false" outlineLevel="0" max="9951" min="9951" style="0" width="2.45"/>
    <col collapsed="false" customWidth="true" hidden="false" outlineLevel="0" max="9953" min="9953" style="0" width="2.45"/>
    <col collapsed="false" customWidth="true" hidden="false" outlineLevel="0" max="9955" min="9955" style="0" width="2.45"/>
    <col collapsed="false" customWidth="true" hidden="false" outlineLevel="0" max="9956" min="9956" style="0" width="11.73"/>
    <col collapsed="false" customWidth="true" hidden="false" outlineLevel="0" max="9957" min="9957" style="0" width="2.45"/>
    <col collapsed="false" customWidth="true" hidden="false" outlineLevel="0" max="9959" min="9959" style="0" width="4.73"/>
    <col collapsed="false" customWidth="true" hidden="false" outlineLevel="0" max="9960" min="9960" style="0" width="2.45"/>
    <col collapsed="false" customWidth="true" hidden="false" outlineLevel="0" max="9961" min="9961" style="0" width="4"/>
    <col collapsed="false" customWidth="true" hidden="false" outlineLevel="0" max="9962" min="9962" style="0" width="2.45"/>
    <col collapsed="false" customWidth="true" hidden="false" outlineLevel="0" max="9964" min="9964" style="0" width="2.45"/>
    <col collapsed="false" customWidth="true" hidden="false" outlineLevel="0" max="9966" min="9966" style="0" width="2.45"/>
    <col collapsed="false" customWidth="true" hidden="false" outlineLevel="0" max="9967" min="9967" style="0" width="11.73"/>
    <col collapsed="false" customWidth="true" hidden="false" outlineLevel="0" max="9968" min="9968" style="0" width="2.45"/>
    <col collapsed="false" customWidth="true" hidden="false" outlineLevel="0" max="9970" min="9970" style="0" width="4.73"/>
    <col collapsed="false" customWidth="true" hidden="false" outlineLevel="0" max="9971" min="9971" style="0" width="2.45"/>
    <col collapsed="false" customWidth="true" hidden="false" outlineLevel="0" max="10196" min="10196" style="0" width="2.82"/>
    <col collapsed="false" customWidth="true" hidden="false" outlineLevel="0" max="10197" min="10197" style="0" width="2"/>
    <col collapsed="false" customWidth="true" hidden="false" outlineLevel="0" max="10199" min="10199" style="0" width="2"/>
    <col collapsed="false" customWidth="true" hidden="false" outlineLevel="0" max="10201" min="10201" style="0" width="2"/>
    <col collapsed="false" customWidth="true" hidden="false" outlineLevel="0" max="10203" min="10203" style="0" width="2"/>
    <col collapsed="false" customWidth="true" hidden="false" outlineLevel="0" max="10205" min="10205" style="0" width="2"/>
    <col collapsed="false" customWidth="true" hidden="false" outlineLevel="0" max="10206" min="10206" style="0" width="2.82"/>
    <col collapsed="false" customWidth="true" hidden="false" outlineLevel="0" max="10207" min="10207" style="0" width="2.45"/>
    <col collapsed="false" customWidth="true" hidden="false" outlineLevel="0" max="10209" min="10209" style="0" width="2.45"/>
    <col collapsed="false" customWidth="true" hidden="false" outlineLevel="0" max="10211" min="10211" style="0" width="2.45"/>
    <col collapsed="false" customWidth="true" hidden="false" outlineLevel="0" max="10212" min="10212" style="0" width="11.73"/>
    <col collapsed="false" customWidth="true" hidden="false" outlineLevel="0" max="10213" min="10213" style="0" width="2.45"/>
    <col collapsed="false" customWidth="true" hidden="false" outlineLevel="0" max="10215" min="10215" style="0" width="4.73"/>
    <col collapsed="false" customWidth="true" hidden="false" outlineLevel="0" max="10216" min="10216" style="0" width="2.45"/>
    <col collapsed="false" customWidth="true" hidden="false" outlineLevel="0" max="10217" min="10217" style="0" width="4"/>
    <col collapsed="false" customWidth="true" hidden="false" outlineLevel="0" max="10218" min="10218" style="0" width="2.45"/>
    <col collapsed="false" customWidth="true" hidden="false" outlineLevel="0" max="10220" min="10220" style="0" width="2.45"/>
    <col collapsed="false" customWidth="true" hidden="false" outlineLevel="0" max="10222" min="10222" style="0" width="2.45"/>
    <col collapsed="false" customWidth="true" hidden="false" outlineLevel="0" max="10223" min="10223" style="0" width="11.73"/>
    <col collapsed="false" customWidth="true" hidden="false" outlineLevel="0" max="10224" min="10224" style="0" width="2.45"/>
    <col collapsed="false" customWidth="true" hidden="false" outlineLevel="0" max="10226" min="10226" style="0" width="4.73"/>
    <col collapsed="false" customWidth="true" hidden="false" outlineLevel="0" max="10227" min="10227" style="0" width="2.45"/>
    <col collapsed="false" customWidth="true" hidden="false" outlineLevel="0" max="10452" min="10452" style="0" width="2.82"/>
    <col collapsed="false" customWidth="true" hidden="false" outlineLevel="0" max="10453" min="10453" style="0" width="2"/>
    <col collapsed="false" customWidth="true" hidden="false" outlineLevel="0" max="10455" min="10455" style="0" width="2"/>
    <col collapsed="false" customWidth="true" hidden="false" outlineLevel="0" max="10457" min="10457" style="0" width="2"/>
    <col collapsed="false" customWidth="true" hidden="false" outlineLevel="0" max="10459" min="10459" style="0" width="2"/>
    <col collapsed="false" customWidth="true" hidden="false" outlineLevel="0" max="10461" min="10461" style="0" width="2"/>
    <col collapsed="false" customWidth="true" hidden="false" outlineLevel="0" max="10462" min="10462" style="0" width="2.82"/>
    <col collapsed="false" customWidth="true" hidden="false" outlineLevel="0" max="10463" min="10463" style="0" width="2.45"/>
    <col collapsed="false" customWidth="true" hidden="false" outlineLevel="0" max="10465" min="10465" style="0" width="2.45"/>
    <col collapsed="false" customWidth="true" hidden="false" outlineLevel="0" max="10467" min="10467" style="0" width="2.45"/>
    <col collapsed="false" customWidth="true" hidden="false" outlineLevel="0" max="10468" min="10468" style="0" width="11.73"/>
    <col collapsed="false" customWidth="true" hidden="false" outlineLevel="0" max="10469" min="10469" style="0" width="2.45"/>
    <col collapsed="false" customWidth="true" hidden="false" outlineLevel="0" max="10471" min="10471" style="0" width="4.73"/>
    <col collapsed="false" customWidth="true" hidden="false" outlineLevel="0" max="10472" min="10472" style="0" width="2.45"/>
    <col collapsed="false" customWidth="true" hidden="false" outlineLevel="0" max="10473" min="10473" style="0" width="4"/>
    <col collapsed="false" customWidth="true" hidden="false" outlineLevel="0" max="10474" min="10474" style="0" width="2.45"/>
    <col collapsed="false" customWidth="true" hidden="false" outlineLevel="0" max="10476" min="10476" style="0" width="2.45"/>
    <col collapsed="false" customWidth="true" hidden="false" outlineLevel="0" max="10478" min="10478" style="0" width="2.45"/>
    <col collapsed="false" customWidth="true" hidden="false" outlineLevel="0" max="10479" min="10479" style="0" width="11.73"/>
    <col collapsed="false" customWidth="true" hidden="false" outlineLevel="0" max="10480" min="10480" style="0" width="2.45"/>
    <col collapsed="false" customWidth="true" hidden="false" outlineLevel="0" max="10482" min="10482" style="0" width="4.73"/>
    <col collapsed="false" customWidth="true" hidden="false" outlineLevel="0" max="10483" min="10483" style="0" width="2.45"/>
    <col collapsed="false" customWidth="true" hidden="false" outlineLevel="0" max="10708" min="10708" style="0" width="2.82"/>
    <col collapsed="false" customWidth="true" hidden="false" outlineLevel="0" max="10709" min="10709" style="0" width="2"/>
    <col collapsed="false" customWidth="true" hidden="false" outlineLevel="0" max="10711" min="10711" style="0" width="2"/>
    <col collapsed="false" customWidth="true" hidden="false" outlineLevel="0" max="10713" min="10713" style="0" width="2"/>
    <col collapsed="false" customWidth="true" hidden="false" outlineLevel="0" max="10715" min="10715" style="0" width="2"/>
    <col collapsed="false" customWidth="true" hidden="false" outlineLevel="0" max="10717" min="10717" style="0" width="2"/>
    <col collapsed="false" customWidth="true" hidden="false" outlineLevel="0" max="10718" min="10718" style="0" width="2.82"/>
    <col collapsed="false" customWidth="true" hidden="false" outlineLevel="0" max="10719" min="10719" style="0" width="2.45"/>
    <col collapsed="false" customWidth="true" hidden="false" outlineLevel="0" max="10721" min="10721" style="0" width="2.45"/>
    <col collapsed="false" customWidth="true" hidden="false" outlineLevel="0" max="10723" min="10723" style="0" width="2.45"/>
    <col collapsed="false" customWidth="true" hidden="false" outlineLevel="0" max="10724" min="10724" style="0" width="11.73"/>
    <col collapsed="false" customWidth="true" hidden="false" outlineLevel="0" max="10725" min="10725" style="0" width="2.45"/>
    <col collapsed="false" customWidth="true" hidden="false" outlineLevel="0" max="10727" min="10727" style="0" width="4.73"/>
    <col collapsed="false" customWidth="true" hidden="false" outlineLevel="0" max="10728" min="10728" style="0" width="2.45"/>
    <col collapsed="false" customWidth="true" hidden="false" outlineLevel="0" max="10729" min="10729" style="0" width="4"/>
    <col collapsed="false" customWidth="true" hidden="false" outlineLevel="0" max="10730" min="10730" style="0" width="2.45"/>
    <col collapsed="false" customWidth="true" hidden="false" outlineLevel="0" max="10732" min="10732" style="0" width="2.45"/>
    <col collapsed="false" customWidth="true" hidden="false" outlineLevel="0" max="10734" min="10734" style="0" width="2.45"/>
    <col collapsed="false" customWidth="true" hidden="false" outlineLevel="0" max="10735" min="10735" style="0" width="11.73"/>
    <col collapsed="false" customWidth="true" hidden="false" outlineLevel="0" max="10736" min="10736" style="0" width="2.45"/>
    <col collapsed="false" customWidth="true" hidden="false" outlineLevel="0" max="10738" min="10738" style="0" width="4.73"/>
    <col collapsed="false" customWidth="true" hidden="false" outlineLevel="0" max="10739" min="10739" style="0" width="2.45"/>
    <col collapsed="false" customWidth="true" hidden="false" outlineLevel="0" max="10964" min="10964" style="0" width="2.82"/>
    <col collapsed="false" customWidth="true" hidden="false" outlineLevel="0" max="10965" min="10965" style="0" width="2"/>
    <col collapsed="false" customWidth="true" hidden="false" outlineLevel="0" max="10967" min="10967" style="0" width="2"/>
    <col collapsed="false" customWidth="true" hidden="false" outlineLevel="0" max="10969" min="10969" style="0" width="2"/>
    <col collapsed="false" customWidth="true" hidden="false" outlineLevel="0" max="10971" min="10971" style="0" width="2"/>
    <col collapsed="false" customWidth="true" hidden="false" outlineLevel="0" max="10973" min="10973" style="0" width="2"/>
    <col collapsed="false" customWidth="true" hidden="false" outlineLevel="0" max="10974" min="10974" style="0" width="2.82"/>
    <col collapsed="false" customWidth="true" hidden="false" outlineLevel="0" max="10975" min="10975" style="0" width="2.45"/>
    <col collapsed="false" customWidth="true" hidden="false" outlineLevel="0" max="10977" min="10977" style="0" width="2.45"/>
    <col collapsed="false" customWidth="true" hidden="false" outlineLevel="0" max="10979" min="10979" style="0" width="2.45"/>
    <col collapsed="false" customWidth="true" hidden="false" outlineLevel="0" max="10980" min="10980" style="0" width="11.73"/>
    <col collapsed="false" customWidth="true" hidden="false" outlineLevel="0" max="10981" min="10981" style="0" width="2.45"/>
    <col collapsed="false" customWidth="true" hidden="false" outlineLevel="0" max="10983" min="10983" style="0" width="4.73"/>
    <col collapsed="false" customWidth="true" hidden="false" outlineLevel="0" max="10984" min="10984" style="0" width="2.45"/>
    <col collapsed="false" customWidth="true" hidden="false" outlineLevel="0" max="10985" min="10985" style="0" width="4"/>
    <col collapsed="false" customWidth="true" hidden="false" outlineLevel="0" max="10986" min="10986" style="0" width="2.45"/>
    <col collapsed="false" customWidth="true" hidden="false" outlineLevel="0" max="10988" min="10988" style="0" width="2.45"/>
    <col collapsed="false" customWidth="true" hidden="false" outlineLevel="0" max="10990" min="10990" style="0" width="2.45"/>
    <col collapsed="false" customWidth="true" hidden="false" outlineLevel="0" max="10991" min="10991" style="0" width="11.73"/>
    <col collapsed="false" customWidth="true" hidden="false" outlineLevel="0" max="10992" min="10992" style="0" width="2.45"/>
    <col collapsed="false" customWidth="true" hidden="false" outlineLevel="0" max="10994" min="10994" style="0" width="4.73"/>
    <col collapsed="false" customWidth="true" hidden="false" outlineLevel="0" max="10995" min="10995" style="0" width="2.45"/>
    <col collapsed="false" customWidth="true" hidden="false" outlineLevel="0" max="11220" min="11220" style="0" width="2.82"/>
    <col collapsed="false" customWidth="true" hidden="false" outlineLevel="0" max="11221" min="11221" style="0" width="2"/>
    <col collapsed="false" customWidth="true" hidden="false" outlineLevel="0" max="11223" min="11223" style="0" width="2"/>
    <col collapsed="false" customWidth="true" hidden="false" outlineLevel="0" max="11225" min="11225" style="0" width="2"/>
    <col collapsed="false" customWidth="true" hidden="false" outlineLevel="0" max="11227" min="11227" style="0" width="2"/>
    <col collapsed="false" customWidth="true" hidden="false" outlineLevel="0" max="11229" min="11229" style="0" width="2"/>
    <col collapsed="false" customWidth="true" hidden="false" outlineLevel="0" max="11230" min="11230" style="0" width="2.82"/>
    <col collapsed="false" customWidth="true" hidden="false" outlineLevel="0" max="11231" min="11231" style="0" width="2.45"/>
    <col collapsed="false" customWidth="true" hidden="false" outlineLevel="0" max="11233" min="11233" style="0" width="2.45"/>
    <col collapsed="false" customWidth="true" hidden="false" outlineLevel="0" max="11235" min="11235" style="0" width="2.45"/>
    <col collapsed="false" customWidth="true" hidden="false" outlineLevel="0" max="11236" min="11236" style="0" width="11.73"/>
    <col collapsed="false" customWidth="true" hidden="false" outlineLevel="0" max="11237" min="11237" style="0" width="2.45"/>
    <col collapsed="false" customWidth="true" hidden="false" outlineLevel="0" max="11239" min="11239" style="0" width="4.73"/>
    <col collapsed="false" customWidth="true" hidden="false" outlineLevel="0" max="11240" min="11240" style="0" width="2.45"/>
    <col collapsed="false" customWidth="true" hidden="false" outlineLevel="0" max="11241" min="11241" style="0" width="4"/>
    <col collapsed="false" customWidth="true" hidden="false" outlineLevel="0" max="11242" min="11242" style="0" width="2.45"/>
    <col collapsed="false" customWidth="true" hidden="false" outlineLevel="0" max="11244" min="11244" style="0" width="2.45"/>
    <col collapsed="false" customWidth="true" hidden="false" outlineLevel="0" max="11246" min="11246" style="0" width="2.45"/>
    <col collapsed="false" customWidth="true" hidden="false" outlineLevel="0" max="11247" min="11247" style="0" width="11.73"/>
    <col collapsed="false" customWidth="true" hidden="false" outlineLevel="0" max="11248" min="11248" style="0" width="2.45"/>
    <col collapsed="false" customWidth="true" hidden="false" outlineLevel="0" max="11250" min="11250" style="0" width="4.73"/>
    <col collapsed="false" customWidth="true" hidden="false" outlineLevel="0" max="11251" min="11251" style="0" width="2.45"/>
    <col collapsed="false" customWidth="true" hidden="false" outlineLevel="0" max="11476" min="11476" style="0" width="2.82"/>
    <col collapsed="false" customWidth="true" hidden="false" outlineLevel="0" max="11477" min="11477" style="0" width="2"/>
    <col collapsed="false" customWidth="true" hidden="false" outlineLevel="0" max="11479" min="11479" style="0" width="2"/>
    <col collapsed="false" customWidth="true" hidden="false" outlineLevel="0" max="11481" min="11481" style="0" width="2"/>
    <col collapsed="false" customWidth="true" hidden="false" outlineLevel="0" max="11483" min="11483" style="0" width="2"/>
    <col collapsed="false" customWidth="true" hidden="false" outlineLevel="0" max="11485" min="11485" style="0" width="2"/>
    <col collapsed="false" customWidth="true" hidden="false" outlineLevel="0" max="11486" min="11486" style="0" width="2.82"/>
    <col collapsed="false" customWidth="true" hidden="false" outlineLevel="0" max="11487" min="11487" style="0" width="2.45"/>
    <col collapsed="false" customWidth="true" hidden="false" outlineLevel="0" max="11489" min="11489" style="0" width="2.45"/>
    <col collapsed="false" customWidth="true" hidden="false" outlineLevel="0" max="11491" min="11491" style="0" width="2.45"/>
    <col collapsed="false" customWidth="true" hidden="false" outlineLevel="0" max="11492" min="11492" style="0" width="11.73"/>
    <col collapsed="false" customWidth="true" hidden="false" outlineLevel="0" max="11493" min="11493" style="0" width="2.45"/>
    <col collapsed="false" customWidth="true" hidden="false" outlineLevel="0" max="11495" min="11495" style="0" width="4.73"/>
    <col collapsed="false" customWidth="true" hidden="false" outlineLevel="0" max="11496" min="11496" style="0" width="2.45"/>
    <col collapsed="false" customWidth="true" hidden="false" outlineLevel="0" max="11497" min="11497" style="0" width="4"/>
    <col collapsed="false" customWidth="true" hidden="false" outlineLevel="0" max="11498" min="11498" style="0" width="2.45"/>
    <col collapsed="false" customWidth="true" hidden="false" outlineLevel="0" max="11500" min="11500" style="0" width="2.45"/>
    <col collapsed="false" customWidth="true" hidden="false" outlineLevel="0" max="11502" min="11502" style="0" width="2.45"/>
    <col collapsed="false" customWidth="true" hidden="false" outlineLevel="0" max="11503" min="11503" style="0" width="11.73"/>
    <col collapsed="false" customWidth="true" hidden="false" outlineLevel="0" max="11504" min="11504" style="0" width="2.45"/>
    <col collapsed="false" customWidth="true" hidden="false" outlineLevel="0" max="11506" min="11506" style="0" width="4.73"/>
    <col collapsed="false" customWidth="true" hidden="false" outlineLevel="0" max="11507" min="11507" style="0" width="2.45"/>
    <col collapsed="false" customWidth="true" hidden="false" outlineLevel="0" max="11732" min="11732" style="0" width="2.82"/>
    <col collapsed="false" customWidth="true" hidden="false" outlineLevel="0" max="11733" min="11733" style="0" width="2"/>
    <col collapsed="false" customWidth="true" hidden="false" outlineLevel="0" max="11735" min="11735" style="0" width="2"/>
    <col collapsed="false" customWidth="true" hidden="false" outlineLevel="0" max="11737" min="11737" style="0" width="2"/>
    <col collapsed="false" customWidth="true" hidden="false" outlineLevel="0" max="11739" min="11739" style="0" width="2"/>
    <col collapsed="false" customWidth="true" hidden="false" outlineLevel="0" max="11741" min="11741" style="0" width="2"/>
    <col collapsed="false" customWidth="true" hidden="false" outlineLevel="0" max="11742" min="11742" style="0" width="2.82"/>
    <col collapsed="false" customWidth="true" hidden="false" outlineLevel="0" max="11743" min="11743" style="0" width="2.45"/>
    <col collapsed="false" customWidth="true" hidden="false" outlineLevel="0" max="11745" min="11745" style="0" width="2.45"/>
    <col collapsed="false" customWidth="true" hidden="false" outlineLevel="0" max="11747" min="11747" style="0" width="2.45"/>
    <col collapsed="false" customWidth="true" hidden="false" outlineLevel="0" max="11748" min="11748" style="0" width="11.73"/>
    <col collapsed="false" customWidth="true" hidden="false" outlineLevel="0" max="11749" min="11749" style="0" width="2.45"/>
    <col collapsed="false" customWidth="true" hidden="false" outlineLevel="0" max="11751" min="11751" style="0" width="4.73"/>
    <col collapsed="false" customWidth="true" hidden="false" outlineLevel="0" max="11752" min="11752" style="0" width="2.45"/>
    <col collapsed="false" customWidth="true" hidden="false" outlineLevel="0" max="11753" min="11753" style="0" width="4"/>
    <col collapsed="false" customWidth="true" hidden="false" outlineLevel="0" max="11754" min="11754" style="0" width="2.45"/>
    <col collapsed="false" customWidth="true" hidden="false" outlineLevel="0" max="11756" min="11756" style="0" width="2.45"/>
    <col collapsed="false" customWidth="true" hidden="false" outlineLevel="0" max="11758" min="11758" style="0" width="2.45"/>
    <col collapsed="false" customWidth="true" hidden="false" outlineLevel="0" max="11759" min="11759" style="0" width="11.73"/>
    <col collapsed="false" customWidth="true" hidden="false" outlineLevel="0" max="11760" min="11760" style="0" width="2.45"/>
    <col collapsed="false" customWidth="true" hidden="false" outlineLevel="0" max="11762" min="11762" style="0" width="4.73"/>
    <col collapsed="false" customWidth="true" hidden="false" outlineLevel="0" max="11763" min="11763" style="0" width="2.45"/>
    <col collapsed="false" customWidth="true" hidden="false" outlineLevel="0" max="11988" min="11988" style="0" width="2.82"/>
    <col collapsed="false" customWidth="true" hidden="false" outlineLevel="0" max="11989" min="11989" style="0" width="2"/>
    <col collapsed="false" customWidth="true" hidden="false" outlineLevel="0" max="11991" min="11991" style="0" width="2"/>
    <col collapsed="false" customWidth="true" hidden="false" outlineLevel="0" max="11993" min="11993" style="0" width="2"/>
    <col collapsed="false" customWidth="true" hidden="false" outlineLevel="0" max="11995" min="11995" style="0" width="2"/>
    <col collapsed="false" customWidth="true" hidden="false" outlineLevel="0" max="11997" min="11997" style="0" width="2"/>
    <col collapsed="false" customWidth="true" hidden="false" outlineLevel="0" max="11998" min="11998" style="0" width="2.82"/>
    <col collapsed="false" customWidth="true" hidden="false" outlineLevel="0" max="11999" min="11999" style="0" width="2.45"/>
    <col collapsed="false" customWidth="true" hidden="false" outlineLevel="0" max="12001" min="12001" style="0" width="2.45"/>
    <col collapsed="false" customWidth="true" hidden="false" outlineLevel="0" max="12003" min="12003" style="0" width="2.45"/>
    <col collapsed="false" customWidth="true" hidden="false" outlineLevel="0" max="12004" min="12004" style="0" width="11.73"/>
    <col collapsed="false" customWidth="true" hidden="false" outlineLevel="0" max="12005" min="12005" style="0" width="2.45"/>
    <col collapsed="false" customWidth="true" hidden="false" outlineLevel="0" max="12007" min="12007" style="0" width="4.73"/>
    <col collapsed="false" customWidth="true" hidden="false" outlineLevel="0" max="12008" min="12008" style="0" width="2.45"/>
    <col collapsed="false" customWidth="true" hidden="false" outlineLevel="0" max="12009" min="12009" style="0" width="4"/>
    <col collapsed="false" customWidth="true" hidden="false" outlineLevel="0" max="12010" min="12010" style="0" width="2.45"/>
    <col collapsed="false" customWidth="true" hidden="false" outlineLevel="0" max="12012" min="12012" style="0" width="2.45"/>
    <col collapsed="false" customWidth="true" hidden="false" outlineLevel="0" max="12014" min="12014" style="0" width="2.45"/>
    <col collapsed="false" customWidth="true" hidden="false" outlineLevel="0" max="12015" min="12015" style="0" width="11.73"/>
    <col collapsed="false" customWidth="true" hidden="false" outlineLevel="0" max="12016" min="12016" style="0" width="2.45"/>
    <col collapsed="false" customWidth="true" hidden="false" outlineLevel="0" max="12018" min="12018" style="0" width="4.73"/>
    <col collapsed="false" customWidth="true" hidden="false" outlineLevel="0" max="12019" min="12019" style="0" width="2.45"/>
    <col collapsed="false" customWidth="true" hidden="false" outlineLevel="0" max="12244" min="12244" style="0" width="2.82"/>
    <col collapsed="false" customWidth="true" hidden="false" outlineLevel="0" max="12245" min="12245" style="0" width="2"/>
    <col collapsed="false" customWidth="true" hidden="false" outlineLevel="0" max="12247" min="12247" style="0" width="2"/>
    <col collapsed="false" customWidth="true" hidden="false" outlineLevel="0" max="12249" min="12249" style="0" width="2"/>
    <col collapsed="false" customWidth="true" hidden="false" outlineLevel="0" max="12251" min="12251" style="0" width="2"/>
    <col collapsed="false" customWidth="true" hidden="false" outlineLevel="0" max="12253" min="12253" style="0" width="2"/>
    <col collapsed="false" customWidth="true" hidden="false" outlineLevel="0" max="12254" min="12254" style="0" width="2.82"/>
    <col collapsed="false" customWidth="true" hidden="false" outlineLevel="0" max="12255" min="12255" style="0" width="2.45"/>
    <col collapsed="false" customWidth="true" hidden="false" outlineLevel="0" max="12257" min="12257" style="0" width="2.45"/>
    <col collapsed="false" customWidth="true" hidden="false" outlineLevel="0" max="12259" min="12259" style="0" width="2.45"/>
    <col collapsed="false" customWidth="true" hidden="false" outlineLevel="0" max="12260" min="12260" style="0" width="11.73"/>
    <col collapsed="false" customWidth="true" hidden="false" outlineLevel="0" max="12261" min="12261" style="0" width="2.45"/>
    <col collapsed="false" customWidth="true" hidden="false" outlineLevel="0" max="12263" min="12263" style="0" width="4.73"/>
    <col collapsed="false" customWidth="true" hidden="false" outlineLevel="0" max="12264" min="12264" style="0" width="2.45"/>
    <col collapsed="false" customWidth="true" hidden="false" outlineLevel="0" max="12265" min="12265" style="0" width="4"/>
    <col collapsed="false" customWidth="true" hidden="false" outlineLevel="0" max="12266" min="12266" style="0" width="2.45"/>
    <col collapsed="false" customWidth="true" hidden="false" outlineLevel="0" max="12268" min="12268" style="0" width="2.45"/>
    <col collapsed="false" customWidth="true" hidden="false" outlineLevel="0" max="12270" min="12270" style="0" width="2.45"/>
    <col collapsed="false" customWidth="true" hidden="false" outlineLevel="0" max="12271" min="12271" style="0" width="11.73"/>
    <col collapsed="false" customWidth="true" hidden="false" outlineLevel="0" max="12272" min="12272" style="0" width="2.45"/>
    <col collapsed="false" customWidth="true" hidden="false" outlineLevel="0" max="12274" min="12274" style="0" width="4.73"/>
    <col collapsed="false" customWidth="true" hidden="false" outlineLevel="0" max="12275" min="12275" style="0" width="2.45"/>
    <col collapsed="false" customWidth="true" hidden="false" outlineLevel="0" max="12500" min="12500" style="0" width="2.82"/>
    <col collapsed="false" customWidth="true" hidden="false" outlineLevel="0" max="12501" min="12501" style="0" width="2"/>
    <col collapsed="false" customWidth="true" hidden="false" outlineLevel="0" max="12503" min="12503" style="0" width="2"/>
    <col collapsed="false" customWidth="true" hidden="false" outlineLevel="0" max="12505" min="12505" style="0" width="2"/>
    <col collapsed="false" customWidth="true" hidden="false" outlineLevel="0" max="12507" min="12507" style="0" width="2"/>
    <col collapsed="false" customWidth="true" hidden="false" outlineLevel="0" max="12509" min="12509" style="0" width="2"/>
    <col collapsed="false" customWidth="true" hidden="false" outlineLevel="0" max="12510" min="12510" style="0" width="2.82"/>
    <col collapsed="false" customWidth="true" hidden="false" outlineLevel="0" max="12511" min="12511" style="0" width="2.45"/>
    <col collapsed="false" customWidth="true" hidden="false" outlineLevel="0" max="12513" min="12513" style="0" width="2.45"/>
    <col collapsed="false" customWidth="true" hidden="false" outlineLevel="0" max="12515" min="12515" style="0" width="2.45"/>
    <col collapsed="false" customWidth="true" hidden="false" outlineLevel="0" max="12516" min="12516" style="0" width="11.73"/>
    <col collapsed="false" customWidth="true" hidden="false" outlineLevel="0" max="12517" min="12517" style="0" width="2.45"/>
    <col collapsed="false" customWidth="true" hidden="false" outlineLevel="0" max="12519" min="12519" style="0" width="4.73"/>
    <col collapsed="false" customWidth="true" hidden="false" outlineLevel="0" max="12520" min="12520" style="0" width="2.45"/>
    <col collapsed="false" customWidth="true" hidden="false" outlineLevel="0" max="12521" min="12521" style="0" width="4"/>
    <col collapsed="false" customWidth="true" hidden="false" outlineLevel="0" max="12522" min="12522" style="0" width="2.45"/>
    <col collapsed="false" customWidth="true" hidden="false" outlineLevel="0" max="12524" min="12524" style="0" width="2.45"/>
    <col collapsed="false" customWidth="true" hidden="false" outlineLevel="0" max="12526" min="12526" style="0" width="2.45"/>
    <col collapsed="false" customWidth="true" hidden="false" outlineLevel="0" max="12527" min="12527" style="0" width="11.73"/>
    <col collapsed="false" customWidth="true" hidden="false" outlineLevel="0" max="12528" min="12528" style="0" width="2.45"/>
    <col collapsed="false" customWidth="true" hidden="false" outlineLevel="0" max="12530" min="12530" style="0" width="4.73"/>
    <col collapsed="false" customWidth="true" hidden="false" outlineLevel="0" max="12531" min="12531" style="0" width="2.45"/>
    <col collapsed="false" customWidth="true" hidden="false" outlineLevel="0" max="12756" min="12756" style="0" width="2.82"/>
    <col collapsed="false" customWidth="true" hidden="false" outlineLevel="0" max="12757" min="12757" style="0" width="2"/>
    <col collapsed="false" customWidth="true" hidden="false" outlineLevel="0" max="12759" min="12759" style="0" width="2"/>
    <col collapsed="false" customWidth="true" hidden="false" outlineLevel="0" max="12761" min="12761" style="0" width="2"/>
    <col collapsed="false" customWidth="true" hidden="false" outlineLevel="0" max="12763" min="12763" style="0" width="2"/>
    <col collapsed="false" customWidth="true" hidden="false" outlineLevel="0" max="12765" min="12765" style="0" width="2"/>
    <col collapsed="false" customWidth="true" hidden="false" outlineLevel="0" max="12766" min="12766" style="0" width="2.82"/>
    <col collapsed="false" customWidth="true" hidden="false" outlineLevel="0" max="12767" min="12767" style="0" width="2.45"/>
    <col collapsed="false" customWidth="true" hidden="false" outlineLevel="0" max="12769" min="12769" style="0" width="2.45"/>
    <col collapsed="false" customWidth="true" hidden="false" outlineLevel="0" max="12771" min="12771" style="0" width="2.45"/>
    <col collapsed="false" customWidth="true" hidden="false" outlineLevel="0" max="12772" min="12772" style="0" width="11.73"/>
    <col collapsed="false" customWidth="true" hidden="false" outlineLevel="0" max="12773" min="12773" style="0" width="2.45"/>
    <col collapsed="false" customWidth="true" hidden="false" outlineLevel="0" max="12775" min="12775" style="0" width="4.73"/>
    <col collapsed="false" customWidth="true" hidden="false" outlineLevel="0" max="12776" min="12776" style="0" width="2.45"/>
    <col collapsed="false" customWidth="true" hidden="false" outlineLevel="0" max="12777" min="12777" style="0" width="4"/>
    <col collapsed="false" customWidth="true" hidden="false" outlineLevel="0" max="12778" min="12778" style="0" width="2.45"/>
    <col collapsed="false" customWidth="true" hidden="false" outlineLevel="0" max="12780" min="12780" style="0" width="2.45"/>
    <col collapsed="false" customWidth="true" hidden="false" outlineLevel="0" max="12782" min="12782" style="0" width="2.45"/>
    <col collapsed="false" customWidth="true" hidden="false" outlineLevel="0" max="12783" min="12783" style="0" width="11.73"/>
    <col collapsed="false" customWidth="true" hidden="false" outlineLevel="0" max="12784" min="12784" style="0" width="2.45"/>
    <col collapsed="false" customWidth="true" hidden="false" outlineLevel="0" max="12786" min="12786" style="0" width="4.73"/>
    <col collapsed="false" customWidth="true" hidden="false" outlineLevel="0" max="12787" min="12787" style="0" width="2.45"/>
    <col collapsed="false" customWidth="true" hidden="false" outlineLevel="0" max="13012" min="13012" style="0" width="2.82"/>
    <col collapsed="false" customWidth="true" hidden="false" outlineLevel="0" max="13013" min="13013" style="0" width="2"/>
    <col collapsed="false" customWidth="true" hidden="false" outlineLevel="0" max="13015" min="13015" style="0" width="2"/>
    <col collapsed="false" customWidth="true" hidden="false" outlineLevel="0" max="13017" min="13017" style="0" width="2"/>
    <col collapsed="false" customWidth="true" hidden="false" outlineLevel="0" max="13019" min="13019" style="0" width="2"/>
    <col collapsed="false" customWidth="true" hidden="false" outlineLevel="0" max="13021" min="13021" style="0" width="2"/>
    <col collapsed="false" customWidth="true" hidden="false" outlineLevel="0" max="13022" min="13022" style="0" width="2.82"/>
    <col collapsed="false" customWidth="true" hidden="false" outlineLevel="0" max="13023" min="13023" style="0" width="2.45"/>
    <col collapsed="false" customWidth="true" hidden="false" outlineLevel="0" max="13025" min="13025" style="0" width="2.45"/>
    <col collapsed="false" customWidth="true" hidden="false" outlineLevel="0" max="13027" min="13027" style="0" width="2.45"/>
    <col collapsed="false" customWidth="true" hidden="false" outlineLevel="0" max="13028" min="13028" style="0" width="11.73"/>
    <col collapsed="false" customWidth="true" hidden="false" outlineLevel="0" max="13029" min="13029" style="0" width="2.45"/>
    <col collapsed="false" customWidth="true" hidden="false" outlineLevel="0" max="13031" min="13031" style="0" width="4.73"/>
    <col collapsed="false" customWidth="true" hidden="false" outlineLevel="0" max="13032" min="13032" style="0" width="2.45"/>
    <col collapsed="false" customWidth="true" hidden="false" outlineLevel="0" max="13033" min="13033" style="0" width="4"/>
    <col collapsed="false" customWidth="true" hidden="false" outlineLevel="0" max="13034" min="13034" style="0" width="2.45"/>
    <col collapsed="false" customWidth="true" hidden="false" outlineLevel="0" max="13036" min="13036" style="0" width="2.45"/>
    <col collapsed="false" customWidth="true" hidden="false" outlineLevel="0" max="13038" min="13038" style="0" width="2.45"/>
    <col collapsed="false" customWidth="true" hidden="false" outlineLevel="0" max="13039" min="13039" style="0" width="11.73"/>
    <col collapsed="false" customWidth="true" hidden="false" outlineLevel="0" max="13040" min="13040" style="0" width="2.45"/>
    <col collapsed="false" customWidth="true" hidden="false" outlineLevel="0" max="13042" min="13042" style="0" width="4.73"/>
    <col collapsed="false" customWidth="true" hidden="false" outlineLevel="0" max="13043" min="13043" style="0" width="2.45"/>
    <col collapsed="false" customWidth="true" hidden="false" outlineLevel="0" max="13268" min="13268" style="0" width="2.82"/>
    <col collapsed="false" customWidth="true" hidden="false" outlineLevel="0" max="13269" min="13269" style="0" width="2"/>
    <col collapsed="false" customWidth="true" hidden="false" outlineLevel="0" max="13271" min="13271" style="0" width="2"/>
    <col collapsed="false" customWidth="true" hidden="false" outlineLevel="0" max="13273" min="13273" style="0" width="2"/>
    <col collapsed="false" customWidth="true" hidden="false" outlineLevel="0" max="13275" min="13275" style="0" width="2"/>
    <col collapsed="false" customWidth="true" hidden="false" outlineLevel="0" max="13277" min="13277" style="0" width="2"/>
    <col collapsed="false" customWidth="true" hidden="false" outlineLevel="0" max="13278" min="13278" style="0" width="2.82"/>
    <col collapsed="false" customWidth="true" hidden="false" outlineLevel="0" max="13279" min="13279" style="0" width="2.45"/>
    <col collapsed="false" customWidth="true" hidden="false" outlineLevel="0" max="13281" min="13281" style="0" width="2.45"/>
    <col collapsed="false" customWidth="true" hidden="false" outlineLevel="0" max="13283" min="13283" style="0" width="2.45"/>
    <col collapsed="false" customWidth="true" hidden="false" outlineLevel="0" max="13284" min="13284" style="0" width="11.73"/>
    <col collapsed="false" customWidth="true" hidden="false" outlineLevel="0" max="13285" min="13285" style="0" width="2.45"/>
    <col collapsed="false" customWidth="true" hidden="false" outlineLevel="0" max="13287" min="13287" style="0" width="4.73"/>
    <col collapsed="false" customWidth="true" hidden="false" outlineLevel="0" max="13288" min="13288" style="0" width="2.45"/>
    <col collapsed="false" customWidth="true" hidden="false" outlineLevel="0" max="13289" min="13289" style="0" width="4"/>
    <col collapsed="false" customWidth="true" hidden="false" outlineLevel="0" max="13290" min="13290" style="0" width="2.45"/>
    <col collapsed="false" customWidth="true" hidden="false" outlineLevel="0" max="13292" min="13292" style="0" width="2.45"/>
    <col collapsed="false" customWidth="true" hidden="false" outlineLevel="0" max="13294" min="13294" style="0" width="2.45"/>
    <col collapsed="false" customWidth="true" hidden="false" outlineLevel="0" max="13295" min="13295" style="0" width="11.73"/>
    <col collapsed="false" customWidth="true" hidden="false" outlineLevel="0" max="13296" min="13296" style="0" width="2.45"/>
    <col collapsed="false" customWidth="true" hidden="false" outlineLevel="0" max="13298" min="13298" style="0" width="4.73"/>
    <col collapsed="false" customWidth="true" hidden="false" outlineLevel="0" max="13299" min="13299" style="0" width="2.45"/>
    <col collapsed="false" customWidth="true" hidden="false" outlineLevel="0" max="13524" min="13524" style="0" width="2.82"/>
    <col collapsed="false" customWidth="true" hidden="false" outlineLevel="0" max="13525" min="13525" style="0" width="2"/>
    <col collapsed="false" customWidth="true" hidden="false" outlineLevel="0" max="13527" min="13527" style="0" width="2"/>
    <col collapsed="false" customWidth="true" hidden="false" outlineLevel="0" max="13529" min="13529" style="0" width="2"/>
    <col collapsed="false" customWidth="true" hidden="false" outlineLevel="0" max="13531" min="13531" style="0" width="2"/>
    <col collapsed="false" customWidth="true" hidden="false" outlineLevel="0" max="13533" min="13533" style="0" width="2"/>
    <col collapsed="false" customWidth="true" hidden="false" outlineLevel="0" max="13534" min="13534" style="0" width="2.82"/>
    <col collapsed="false" customWidth="true" hidden="false" outlineLevel="0" max="13535" min="13535" style="0" width="2.45"/>
    <col collapsed="false" customWidth="true" hidden="false" outlineLevel="0" max="13537" min="13537" style="0" width="2.45"/>
    <col collapsed="false" customWidth="true" hidden="false" outlineLevel="0" max="13539" min="13539" style="0" width="2.45"/>
    <col collapsed="false" customWidth="true" hidden="false" outlineLevel="0" max="13540" min="13540" style="0" width="11.73"/>
    <col collapsed="false" customWidth="true" hidden="false" outlineLevel="0" max="13541" min="13541" style="0" width="2.45"/>
    <col collapsed="false" customWidth="true" hidden="false" outlineLevel="0" max="13543" min="13543" style="0" width="4.73"/>
    <col collapsed="false" customWidth="true" hidden="false" outlineLevel="0" max="13544" min="13544" style="0" width="2.45"/>
    <col collapsed="false" customWidth="true" hidden="false" outlineLevel="0" max="13545" min="13545" style="0" width="4"/>
    <col collapsed="false" customWidth="true" hidden="false" outlineLevel="0" max="13546" min="13546" style="0" width="2.45"/>
    <col collapsed="false" customWidth="true" hidden="false" outlineLevel="0" max="13548" min="13548" style="0" width="2.45"/>
    <col collapsed="false" customWidth="true" hidden="false" outlineLevel="0" max="13550" min="13550" style="0" width="2.45"/>
    <col collapsed="false" customWidth="true" hidden="false" outlineLevel="0" max="13551" min="13551" style="0" width="11.73"/>
    <col collapsed="false" customWidth="true" hidden="false" outlineLevel="0" max="13552" min="13552" style="0" width="2.45"/>
    <col collapsed="false" customWidth="true" hidden="false" outlineLevel="0" max="13554" min="13554" style="0" width="4.73"/>
    <col collapsed="false" customWidth="true" hidden="false" outlineLevel="0" max="13555" min="13555" style="0" width="2.45"/>
    <col collapsed="false" customWidth="true" hidden="false" outlineLevel="0" max="13780" min="13780" style="0" width="2.82"/>
    <col collapsed="false" customWidth="true" hidden="false" outlineLevel="0" max="13781" min="13781" style="0" width="2"/>
    <col collapsed="false" customWidth="true" hidden="false" outlineLevel="0" max="13783" min="13783" style="0" width="2"/>
    <col collapsed="false" customWidth="true" hidden="false" outlineLevel="0" max="13785" min="13785" style="0" width="2"/>
    <col collapsed="false" customWidth="true" hidden="false" outlineLevel="0" max="13787" min="13787" style="0" width="2"/>
    <col collapsed="false" customWidth="true" hidden="false" outlineLevel="0" max="13789" min="13789" style="0" width="2"/>
    <col collapsed="false" customWidth="true" hidden="false" outlineLevel="0" max="13790" min="13790" style="0" width="2.82"/>
    <col collapsed="false" customWidth="true" hidden="false" outlineLevel="0" max="13791" min="13791" style="0" width="2.45"/>
    <col collapsed="false" customWidth="true" hidden="false" outlineLevel="0" max="13793" min="13793" style="0" width="2.45"/>
    <col collapsed="false" customWidth="true" hidden="false" outlineLevel="0" max="13795" min="13795" style="0" width="2.45"/>
    <col collapsed="false" customWidth="true" hidden="false" outlineLevel="0" max="13796" min="13796" style="0" width="11.73"/>
    <col collapsed="false" customWidth="true" hidden="false" outlineLevel="0" max="13797" min="13797" style="0" width="2.45"/>
    <col collapsed="false" customWidth="true" hidden="false" outlineLevel="0" max="13799" min="13799" style="0" width="4.73"/>
    <col collapsed="false" customWidth="true" hidden="false" outlineLevel="0" max="13800" min="13800" style="0" width="2.45"/>
    <col collapsed="false" customWidth="true" hidden="false" outlineLevel="0" max="13801" min="13801" style="0" width="4"/>
    <col collapsed="false" customWidth="true" hidden="false" outlineLevel="0" max="13802" min="13802" style="0" width="2.45"/>
    <col collapsed="false" customWidth="true" hidden="false" outlineLevel="0" max="13804" min="13804" style="0" width="2.45"/>
    <col collapsed="false" customWidth="true" hidden="false" outlineLevel="0" max="13806" min="13806" style="0" width="2.45"/>
    <col collapsed="false" customWidth="true" hidden="false" outlineLevel="0" max="13807" min="13807" style="0" width="11.73"/>
    <col collapsed="false" customWidth="true" hidden="false" outlineLevel="0" max="13808" min="13808" style="0" width="2.45"/>
    <col collapsed="false" customWidth="true" hidden="false" outlineLevel="0" max="13810" min="13810" style="0" width="4.73"/>
    <col collapsed="false" customWidth="true" hidden="false" outlineLevel="0" max="13811" min="13811" style="0" width="2.45"/>
    <col collapsed="false" customWidth="true" hidden="false" outlineLevel="0" max="14036" min="14036" style="0" width="2.82"/>
    <col collapsed="false" customWidth="true" hidden="false" outlineLevel="0" max="14037" min="14037" style="0" width="2"/>
    <col collapsed="false" customWidth="true" hidden="false" outlineLevel="0" max="14039" min="14039" style="0" width="2"/>
    <col collapsed="false" customWidth="true" hidden="false" outlineLevel="0" max="14041" min="14041" style="0" width="2"/>
    <col collapsed="false" customWidth="true" hidden="false" outlineLevel="0" max="14043" min="14043" style="0" width="2"/>
    <col collapsed="false" customWidth="true" hidden="false" outlineLevel="0" max="14045" min="14045" style="0" width="2"/>
    <col collapsed="false" customWidth="true" hidden="false" outlineLevel="0" max="14046" min="14046" style="0" width="2.82"/>
    <col collapsed="false" customWidth="true" hidden="false" outlineLevel="0" max="14047" min="14047" style="0" width="2.45"/>
    <col collapsed="false" customWidth="true" hidden="false" outlineLevel="0" max="14049" min="14049" style="0" width="2.45"/>
    <col collapsed="false" customWidth="true" hidden="false" outlineLevel="0" max="14051" min="14051" style="0" width="2.45"/>
    <col collapsed="false" customWidth="true" hidden="false" outlineLevel="0" max="14052" min="14052" style="0" width="11.73"/>
    <col collapsed="false" customWidth="true" hidden="false" outlineLevel="0" max="14053" min="14053" style="0" width="2.45"/>
    <col collapsed="false" customWidth="true" hidden="false" outlineLevel="0" max="14055" min="14055" style="0" width="4.73"/>
    <col collapsed="false" customWidth="true" hidden="false" outlineLevel="0" max="14056" min="14056" style="0" width="2.45"/>
    <col collapsed="false" customWidth="true" hidden="false" outlineLevel="0" max="14057" min="14057" style="0" width="4"/>
    <col collapsed="false" customWidth="true" hidden="false" outlineLevel="0" max="14058" min="14058" style="0" width="2.45"/>
    <col collapsed="false" customWidth="true" hidden="false" outlineLevel="0" max="14060" min="14060" style="0" width="2.45"/>
    <col collapsed="false" customWidth="true" hidden="false" outlineLevel="0" max="14062" min="14062" style="0" width="2.45"/>
    <col collapsed="false" customWidth="true" hidden="false" outlineLevel="0" max="14063" min="14063" style="0" width="11.73"/>
    <col collapsed="false" customWidth="true" hidden="false" outlineLevel="0" max="14064" min="14064" style="0" width="2.45"/>
    <col collapsed="false" customWidth="true" hidden="false" outlineLevel="0" max="14066" min="14066" style="0" width="4.73"/>
    <col collapsed="false" customWidth="true" hidden="false" outlineLevel="0" max="14067" min="14067" style="0" width="2.45"/>
    <col collapsed="false" customWidth="true" hidden="false" outlineLevel="0" max="14292" min="14292" style="0" width="2.82"/>
    <col collapsed="false" customWidth="true" hidden="false" outlineLevel="0" max="14293" min="14293" style="0" width="2"/>
    <col collapsed="false" customWidth="true" hidden="false" outlineLevel="0" max="14295" min="14295" style="0" width="2"/>
    <col collapsed="false" customWidth="true" hidden="false" outlineLevel="0" max="14297" min="14297" style="0" width="2"/>
    <col collapsed="false" customWidth="true" hidden="false" outlineLevel="0" max="14299" min="14299" style="0" width="2"/>
    <col collapsed="false" customWidth="true" hidden="false" outlineLevel="0" max="14301" min="14301" style="0" width="2"/>
    <col collapsed="false" customWidth="true" hidden="false" outlineLevel="0" max="14302" min="14302" style="0" width="2.82"/>
    <col collapsed="false" customWidth="true" hidden="false" outlineLevel="0" max="14303" min="14303" style="0" width="2.45"/>
    <col collapsed="false" customWidth="true" hidden="false" outlineLevel="0" max="14305" min="14305" style="0" width="2.45"/>
    <col collapsed="false" customWidth="true" hidden="false" outlineLevel="0" max="14307" min="14307" style="0" width="2.45"/>
    <col collapsed="false" customWidth="true" hidden="false" outlineLevel="0" max="14308" min="14308" style="0" width="11.73"/>
    <col collapsed="false" customWidth="true" hidden="false" outlineLevel="0" max="14309" min="14309" style="0" width="2.45"/>
    <col collapsed="false" customWidth="true" hidden="false" outlineLevel="0" max="14311" min="14311" style="0" width="4.73"/>
    <col collapsed="false" customWidth="true" hidden="false" outlineLevel="0" max="14312" min="14312" style="0" width="2.45"/>
    <col collapsed="false" customWidth="true" hidden="false" outlineLevel="0" max="14313" min="14313" style="0" width="4"/>
    <col collapsed="false" customWidth="true" hidden="false" outlineLevel="0" max="14314" min="14314" style="0" width="2.45"/>
    <col collapsed="false" customWidth="true" hidden="false" outlineLevel="0" max="14316" min="14316" style="0" width="2.45"/>
    <col collapsed="false" customWidth="true" hidden="false" outlineLevel="0" max="14318" min="14318" style="0" width="2.45"/>
    <col collapsed="false" customWidth="true" hidden="false" outlineLevel="0" max="14319" min="14319" style="0" width="11.73"/>
    <col collapsed="false" customWidth="true" hidden="false" outlineLevel="0" max="14320" min="14320" style="0" width="2.45"/>
    <col collapsed="false" customWidth="true" hidden="false" outlineLevel="0" max="14322" min="14322" style="0" width="4.73"/>
    <col collapsed="false" customWidth="true" hidden="false" outlineLevel="0" max="14323" min="14323" style="0" width="2.45"/>
    <col collapsed="false" customWidth="true" hidden="false" outlineLevel="0" max="14548" min="14548" style="0" width="2.82"/>
    <col collapsed="false" customWidth="true" hidden="false" outlineLevel="0" max="14549" min="14549" style="0" width="2"/>
    <col collapsed="false" customWidth="true" hidden="false" outlineLevel="0" max="14551" min="14551" style="0" width="2"/>
    <col collapsed="false" customWidth="true" hidden="false" outlineLevel="0" max="14553" min="14553" style="0" width="2"/>
    <col collapsed="false" customWidth="true" hidden="false" outlineLevel="0" max="14555" min="14555" style="0" width="2"/>
    <col collapsed="false" customWidth="true" hidden="false" outlineLevel="0" max="14557" min="14557" style="0" width="2"/>
    <col collapsed="false" customWidth="true" hidden="false" outlineLevel="0" max="14558" min="14558" style="0" width="2.82"/>
    <col collapsed="false" customWidth="true" hidden="false" outlineLevel="0" max="14559" min="14559" style="0" width="2.45"/>
    <col collapsed="false" customWidth="true" hidden="false" outlineLevel="0" max="14561" min="14561" style="0" width="2.45"/>
    <col collapsed="false" customWidth="true" hidden="false" outlineLevel="0" max="14563" min="14563" style="0" width="2.45"/>
    <col collapsed="false" customWidth="true" hidden="false" outlineLevel="0" max="14564" min="14564" style="0" width="11.73"/>
    <col collapsed="false" customWidth="true" hidden="false" outlineLevel="0" max="14565" min="14565" style="0" width="2.45"/>
    <col collapsed="false" customWidth="true" hidden="false" outlineLevel="0" max="14567" min="14567" style="0" width="4.73"/>
    <col collapsed="false" customWidth="true" hidden="false" outlineLevel="0" max="14568" min="14568" style="0" width="2.45"/>
    <col collapsed="false" customWidth="true" hidden="false" outlineLevel="0" max="14569" min="14569" style="0" width="4"/>
    <col collapsed="false" customWidth="true" hidden="false" outlineLevel="0" max="14570" min="14570" style="0" width="2.45"/>
    <col collapsed="false" customWidth="true" hidden="false" outlineLevel="0" max="14572" min="14572" style="0" width="2.45"/>
    <col collapsed="false" customWidth="true" hidden="false" outlineLevel="0" max="14574" min="14574" style="0" width="2.45"/>
    <col collapsed="false" customWidth="true" hidden="false" outlineLevel="0" max="14575" min="14575" style="0" width="11.73"/>
    <col collapsed="false" customWidth="true" hidden="false" outlineLevel="0" max="14576" min="14576" style="0" width="2.45"/>
    <col collapsed="false" customWidth="true" hidden="false" outlineLevel="0" max="14578" min="14578" style="0" width="4.73"/>
    <col collapsed="false" customWidth="true" hidden="false" outlineLevel="0" max="14579" min="14579" style="0" width="2.45"/>
    <col collapsed="false" customWidth="true" hidden="false" outlineLevel="0" max="14804" min="14804" style="0" width="2.82"/>
    <col collapsed="false" customWidth="true" hidden="false" outlineLevel="0" max="14805" min="14805" style="0" width="2"/>
    <col collapsed="false" customWidth="true" hidden="false" outlineLevel="0" max="14807" min="14807" style="0" width="2"/>
    <col collapsed="false" customWidth="true" hidden="false" outlineLevel="0" max="14809" min="14809" style="0" width="2"/>
    <col collapsed="false" customWidth="true" hidden="false" outlineLevel="0" max="14811" min="14811" style="0" width="2"/>
    <col collapsed="false" customWidth="true" hidden="false" outlineLevel="0" max="14813" min="14813" style="0" width="2"/>
    <col collapsed="false" customWidth="true" hidden="false" outlineLevel="0" max="14814" min="14814" style="0" width="2.82"/>
    <col collapsed="false" customWidth="true" hidden="false" outlineLevel="0" max="14815" min="14815" style="0" width="2.45"/>
    <col collapsed="false" customWidth="true" hidden="false" outlineLevel="0" max="14817" min="14817" style="0" width="2.45"/>
    <col collapsed="false" customWidth="true" hidden="false" outlineLevel="0" max="14819" min="14819" style="0" width="2.45"/>
    <col collapsed="false" customWidth="true" hidden="false" outlineLevel="0" max="14820" min="14820" style="0" width="11.73"/>
    <col collapsed="false" customWidth="true" hidden="false" outlineLevel="0" max="14821" min="14821" style="0" width="2.45"/>
    <col collapsed="false" customWidth="true" hidden="false" outlineLevel="0" max="14823" min="14823" style="0" width="4.73"/>
    <col collapsed="false" customWidth="true" hidden="false" outlineLevel="0" max="14824" min="14824" style="0" width="2.45"/>
    <col collapsed="false" customWidth="true" hidden="false" outlineLevel="0" max="14825" min="14825" style="0" width="4"/>
    <col collapsed="false" customWidth="true" hidden="false" outlineLevel="0" max="14826" min="14826" style="0" width="2.45"/>
    <col collapsed="false" customWidth="true" hidden="false" outlineLevel="0" max="14828" min="14828" style="0" width="2.45"/>
    <col collapsed="false" customWidth="true" hidden="false" outlineLevel="0" max="14830" min="14830" style="0" width="2.45"/>
    <col collapsed="false" customWidth="true" hidden="false" outlineLevel="0" max="14831" min="14831" style="0" width="11.73"/>
    <col collapsed="false" customWidth="true" hidden="false" outlineLevel="0" max="14832" min="14832" style="0" width="2.45"/>
    <col collapsed="false" customWidth="true" hidden="false" outlineLevel="0" max="14834" min="14834" style="0" width="4.73"/>
    <col collapsed="false" customWidth="true" hidden="false" outlineLevel="0" max="14835" min="14835" style="0" width="2.45"/>
    <col collapsed="false" customWidth="true" hidden="false" outlineLevel="0" max="15060" min="15060" style="0" width="2.82"/>
    <col collapsed="false" customWidth="true" hidden="false" outlineLevel="0" max="15061" min="15061" style="0" width="2"/>
    <col collapsed="false" customWidth="true" hidden="false" outlineLevel="0" max="15063" min="15063" style="0" width="2"/>
    <col collapsed="false" customWidth="true" hidden="false" outlineLevel="0" max="15065" min="15065" style="0" width="2"/>
    <col collapsed="false" customWidth="true" hidden="false" outlineLevel="0" max="15067" min="15067" style="0" width="2"/>
    <col collapsed="false" customWidth="true" hidden="false" outlineLevel="0" max="15069" min="15069" style="0" width="2"/>
    <col collapsed="false" customWidth="true" hidden="false" outlineLevel="0" max="15070" min="15070" style="0" width="2.82"/>
    <col collapsed="false" customWidth="true" hidden="false" outlineLevel="0" max="15071" min="15071" style="0" width="2.45"/>
    <col collapsed="false" customWidth="true" hidden="false" outlineLevel="0" max="15073" min="15073" style="0" width="2.45"/>
    <col collapsed="false" customWidth="true" hidden="false" outlineLevel="0" max="15075" min="15075" style="0" width="2.45"/>
    <col collapsed="false" customWidth="true" hidden="false" outlineLevel="0" max="15076" min="15076" style="0" width="11.73"/>
    <col collapsed="false" customWidth="true" hidden="false" outlineLevel="0" max="15077" min="15077" style="0" width="2.45"/>
    <col collapsed="false" customWidth="true" hidden="false" outlineLevel="0" max="15079" min="15079" style="0" width="4.73"/>
    <col collapsed="false" customWidth="true" hidden="false" outlineLevel="0" max="15080" min="15080" style="0" width="2.45"/>
    <col collapsed="false" customWidth="true" hidden="false" outlineLevel="0" max="15081" min="15081" style="0" width="4"/>
    <col collapsed="false" customWidth="true" hidden="false" outlineLevel="0" max="15082" min="15082" style="0" width="2.45"/>
    <col collapsed="false" customWidth="true" hidden="false" outlineLevel="0" max="15084" min="15084" style="0" width="2.45"/>
    <col collapsed="false" customWidth="true" hidden="false" outlineLevel="0" max="15086" min="15086" style="0" width="2.45"/>
    <col collapsed="false" customWidth="true" hidden="false" outlineLevel="0" max="15087" min="15087" style="0" width="11.73"/>
    <col collapsed="false" customWidth="true" hidden="false" outlineLevel="0" max="15088" min="15088" style="0" width="2.45"/>
    <col collapsed="false" customWidth="true" hidden="false" outlineLevel="0" max="15090" min="15090" style="0" width="4.73"/>
    <col collapsed="false" customWidth="true" hidden="false" outlineLevel="0" max="15091" min="15091" style="0" width="2.45"/>
    <col collapsed="false" customWidth="true" hidden="false" outlineLevel="0" max="15316" min="15316" style="0" width="2.82"/>
    <col collapsed="false" customWidth="true" hidden="false" outlineLevel="0" max="15317" min="15317" style="0" width="2"/>
    <col collapsed="false" customWidth="true" hidden="false" outlineLevel="0" max="15319" min="15319" style="0" width="2"/>
    <col collapsed="false" customWidth="true" hidden="false" outlineLevel="0" max="15321" min="15321" style="0" width="2"/>
    <col collapsed="false" customWidth="true" hidden="false" outlineLevel="0" max="15323" min="15323" style="0" width="2"/>
    <col collapsed="false" customWidth="true" hidden="false" outlineLevel="0" max="15325" min="15325" style="0" width="2"/>
    <col collapsed="false" customWidth="true" hidden="false" outlineLevel="0" max="15326" min="15326" style="0" width="2.82"/>
    <col collapsed="false" customWidth="true" hidden="false" outlineLevel="0" max="15327" min="15327" style="0" width="2.45"/>
    <col collapsed="false" customWidth="true" hidden="false" outlineLevel="0" max="15329" min="15329" style="0" width="2.45"/>
    <col collapsed="false" customWidth="true" hidden="false" outlineLevel="0" max="15331" min="15331" style="0" width="2.45"/>
    <col collapsed="false" customWidth="true" hidden="false" outlineLevel="0" max="15332" min="15332" style="0" width="11.73"/>
    <col collapsed="false" customWidth="true" hidden="false" outlineLevel="0" max="15333" min="15333" style="0" width="2.45"/>
    <col collapsed="false" customWidth="true" hidden="false" outlineLevel="0" max="15335" min="15335" style="0" width="4.73"/>
    <col collapsed="false" customWidth="true" hidden="false" outlineLevel="0" max="15336" min="15336" style="0" width="2.45"/>
    <col collapsed="false" customWidth="true" hidden="false" outlineLevel="0" max="15337" min="15337" style="0" width="4"/>
    <col collapsed="false" customWidth="true" hidden="false" outlineLevel="0" max="15338" min="15338" style="0" width="2.45"/>
    <col collapsed="false" customWidth="true" hidden="false" outlineLevel="0" max="15340" min="15340" style="0" width="2.45"/>
    <col collapsed="false" customWidth="true" hidden="false" outlineLevel="0" max="15342" min="15342" style="0" width="2.45"/>
    <col collapsed="false" customWidth="true" hidden="false" outlineLevel="0" max="15343" min="15343" style="0" width="11.73"/>
    <col collapsed="false" customWidth="true" hidden="false" outlineLevel="0" max="15344" min="15344" style="0" width="2.45"/>
    <col collapsed="false" customWidth="true" hidden="false" outlineLevel="0" max="15346" min="15346" style="0" width="4.73"/>
    <col collapsed="false" customWidth="true" hidden="false" outlineLevel="0" max="15347" min="15347" style="0" width="2.45"/>
    <col collapsed="false" customWidth="true" hidden="false" outlineLevel="0" max="15572" min="15572" style="0" width="2.82"/>
    <col collapsed="false" customWidth="true" hidden="false" outlineLevel="0" max="15573" min="15573" style="0" width="2"/>
    <col collapsed="false" customWidth="true" hidden="false" outlineLevel="0" max="15575" min="15575" style="0" width="2"/>
    <col collapsed="false" customWidth="true" hidden="false" outlineLevel="0" max="15577" min="15577" style="0" width="2"/>
    <col collapsed="false" customWidth="true" hidden="false" outlineLevel="0" max="15579" min="15579" style="0" width="2"/>
    <col collapsed="false" customWidth="true" hidden="false" outlineLevel="0" max="15581" min="15581" style="0" width="2"/>
    <col collapsed="false" customWidth="true" hidden="false" outlineLevel="0" max="15582" min="15582" style="0" width="2.82"/>
    <col collapsed="false" customWidth="true" hidden="false" outlineLevel="0" max="15583" min="15583" style="0" width="2.45"/>
    <col collapsed="false" customWidth="true" hidden="false" outlineLevel="0" max="15585" min="15585" style="0" width="2.45"/>
    <col collapsed="false" customWidth="true" hidden="false" outlineLevel="0" max="15587" min="15587" style="0" width="2.45"/>
    <col collapsed="false" customWidth="true" hidden="false" outlineLevel="0" max="15588" min="15588" style="0" width="11.73"/>
    <col collapsed="false" customWidth="true" hidden="false" outlineLevel="0" max="15589" min="15589" style="0" width="2.45"/>
    <col collapsed="false" customWidth="true" hidden="false" outlineLevel="0" max="15591" min="15591" style="0" width="4.73"/>
    <col collapsed="false" customWidth="true" hidden="false" outlineLevel="0" max="15592" min="15592" style="0" width="2.45"/>
    <col collapsed="false" customWidth="true" hidden="false" outlineLevel="0" max="15593" min="15593" style="0" width="4"/>
    <col collapsed="false" customWidth="true" hidden="false" outlineLevel="0" max="15594" min="15594" style="0" width="2.45"/>
    <col collapsed="false" customWidth="true" hidden="false" outlineLevel="0" max="15596" min="15596" style="0" width="2.45"/>
    <col collapsed="false" customWidth="true" hidden="false" outlineLevel="0" max="15598" min="15598" style="0" width="2.45"/>
    <col collapsed="false" customWidth="true" hidden="false" outlineLevel="0" max="15599" min="15599" style="0" width="11.73"/>
    <col collapsed="false" customWidth="true" hidden="false" outlineLevel="0" max="15600" min="15600" style="0" width="2.45"/>
    <col collapsed="false" customWidth="true" hidden="false" outlineLevel="0" max="15602" min="15602" style="0" width="4.73"/>
    <col collapsed="false" customWidth="true" hidden="false" outlineLevel="0" max="15603" min="15603" style="0" width="2.45"/>
    <col collapsed="false" customWidth="true" hidden="false" outlineLevel="0" max="15828" min="15828" style="0" width="2.82"/>
    <col collapsed="false" customWidth="true" hidden="false" outlineLevel="0" max="15829" min="15829" style="0" width="2"/>
    <col collapsed="false" customWidth="true" hidden="false" outlineLevel="0" max="15831" min="15831" style="0" width="2"/>
    <col collapsed="false" customWidth="true" hidden="false" outlineLevel="0" max="15833" min="15833" style="0" width="2"/>
    <col collapsed="false" customWidth="true" hidden="false" outlineLevel="0" max="15835" min="15835" style="0" width="2"/>
    <col collapsed="false" customWidth="true" hidden="false" outlineLevel="0" max="15837" min="15837" style="0" width="2"/>
    <col collapsed="false" customWidth="true" hidden="false" outlineLevel="0" max="15838" min="15838" style="0" width="2.82"/>
    <col collapsed="false" customWidth="true" hidden="false" outlineLevel="0" max="15839" min="15839" style="0" width="2.45"/>
    <col collapsed="false" customWidth="true" hidden="false" outlineLevel="0" max="15841" min="15841" style="0" width="2.45"/>
    <col collapsed="false" customWidth="true" hidden="false" outlineLevel="0" max="15843" min="15843" style="0" width="2.45"/>
    <col collapsed="false" customWidth="true" hidden="false" outlineLevel="0" max="15844" min="15844" style="0" width="11.73"/>
    <col collapsed="false" customWidth="true" hidden="false" outlineLevel="0" max="15845" min="15845" style="0" width="2.45"/>
    <col collapsed="false" customWidth="true" hidden="false" outlineLevel="0" max="15847" min="15847" style="0" width="4.73"/>
    <col collapsed="false" customWidth="true" hidden="false" outlineLevel="0" max="15848" min="15848" style="0" width="2.45"/>
    <col collapsed="false" customWidth="true" hidden="false" outlineLevel="0" max="15849" min="15849" style="0" width="4"/>
    <col collapsed="false" customWidth="true" hidden="false" outlineLevel="0" max="15850" min="15850" style="0" width="2.45"/>
    <col collapsed="false" customWidth="true" hidden="false" outlineLevel="0" max="15852" min="15852" style="0" width="2.45"/>
    <col collapsed="false" customWidth="true" hidden="false" outlineLevel="0" max="15854" min="15854" style="0" width="2.45"/>
    <col collapsed="false" customWidth="true" hidden="false" outlineLevel="0" max="15855" min="15855" style="0" width="11.73"/>
    <col collapsed="false" customWidth="true" hidden="false" outlineLevel="0" max="15856" min="15856" style="0" width="2.45"/>
    <col collapsed="false" customWidth="true" hidden="false" outlineLevel="0" max="15858" min="15858" style="0" width="4.73"/>
    <col collapsed="false" customWidth="true" hidden="false" outlineLevel="0" max="15859" min="15859" style="0" width="2.45"/>
    <col collapsed="false" customWidth="true" hidden="false" outlineLevel="0" max="16084" min="16084" style="0" width="2.82"/>
    <col collapsed="false" customWidth="true" hidden="false" outlineLevel="0" max="16085" min="16085" style="0" width="2"/>
    <col collapsed="false" customWidth="true" hidden="false" outlineLevel="0" max="16087" min="16087" style="0" width="2"/>
    <col collapsed="false" customWidth="true" hidden="false" outlineLevel="0" max="16089" min="16089" style="0" width="2"/>
    <col collapsed="false" customWidth="true" hidden="false" outlineLevel="0" max="16091" min="16091" style="0" width="2"/>
    <col collapsed="false" customWidth="true" hidden="false" outlineLevel="0" max="16093" min="16093" style="0" width="2"/>
    <col collapsed="false" customWidth="true" hidden="false" outlineLevel="0" max="16094" min="16094" style="0" width="2.82"/>
    <col collapsed="false" customWidth="true" hidden="false" outlineLevel="0" max="16095" min="16095" style="0" width="2.45"/>
    <col collapsed="false" customWidth="true" hidden="false" outlineLevel="0" max="16097" min="16097" style="0" width="2.45"/>
    <col collapsed="false" customWidth="true" hidden="false" outlineLevel="0" max="16099" min="16099" style="0" width="2.45"/>
    <col collapsed="false" customWidth="true" hidden="false" outlineLevel="0" max="16100" min="16100" style="0" width="11.73"/>
    <col collapsed="false" customWidth="true" hidden="false" outlineLevel="0" max="16101" min="16101" style="0" width="2.45"/>
    <col collapsed="false" customWidth="true" hidden="false" outlineLevel="0" max="16103" min="16103" style="0" width="4.73"/>
    <col collapsed="false" customWidth="true" hidden="false" outlineLevel="0" max="16104" min="16104" style="0" width="2.45"/>
    <col collapsed="false" customWidth="true" hidden="false" outlineLevel="0" max="16105" min="16105" style="0" width="4"/>
    <col collapsed="false" customWidth="true" hidden="false" outlineLevel="0" max="16106" min="16106" style="0" width="2.45"/>
    <col collapsed="false" customWidth="true" hidden="false" outlineLevel="0" max="16108" min="16108" style="0" width="2.45"/>
    <col collapsed="false" customWidth="true" hidden="false" outlineLevel="0" max="16110" min="16110" style="0" width="2.45"/>
    <col collapsed="false" customWidth="true" hidden="false" outlineLevel="0" max="16111" min="16111" style="0" width="11.73"/>
    <col collapsed="false" customWidth="true" hidden="false" outlineLevel="0" max="16112" min="16112" style="0" width="2.45"/>
    <col collapsed="false" customWidth="true" hidden="false" outlineLevel="0" max="16114" min="16114" style="0" width="4.73"/>
    <col collapsed="false" customWidth="true" hidden="false" outlineLevel="0" max="16115" min="16115" style="0" width="2.45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19</v>
      </c>
      <c r="H4" s="8" t="n">
        <v>2025</v>
      </c>
      <c r="I4" s="8"/>
      <c r="J4" s="9" t="s">
        <v>5</v>
      </c>
      <c r="K4" s="9"/>
      <c r="L4" s="10" t="n">
        <v>4</v>
      </c>
      <c r="M4" s="10"/>
      <c r="N4" s="10"/>
    </row>
    <row r="5" customFormat="false" ht="14.2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4"/>
    </row>
    <row r="7" customFormat="false" ht="21" hidden="false" customHeight="true" outlineLevel="0" collapsed="false">
      <c r="B7" s="15"/>
      <c r="C7" s="16" t="s">
        <v>6</v>
      </c>
      <c r="D7" s="16"/>
      <c r="E7" s="16"/>
      <c r="F7" s="16"/>
      <c r="G7" s="16"/>
      <c r="H7" s="16"/>
      <c r="I7" s="16"/>
      <c r="J7" s="16"/>
      <c r="K7" s="17"/>
    </row>
    <row r="8" customFormat="false" ht="9" hidden="false" customHeight="true" outlineLevel="0" collapsed="false">
      <c r="B8" s="15"/>
      <c r="C8" s="18"/>
      <c r="D8" s="18"/>
      <c r="E8" s="18"/>
      <c r="F8" s="18"/>
      <c r="G8" s="18"/>
      <c r="H8" s="18"/>
      <c r="I8" s="18"/>
      <c r="J8" s="18"/>
      <c r="K8" s="17"/>
    </row>
    <row r="9" customFormat="false" ht="24.75" hidden="false" customHeight="true" outlineLevel="0" collapsed="false">
      <c r="B9" s="15"/>
      <c r="C9" s="18"/>
      <c r="D9" s="18"/>
      <c r="E9" s="19" t="s">
        <v>7</v>
      </c>
      <c r="F9" s="18" t="s">
        <v>8</v>
      </c>
      <c r="G9" s="20" t="n">
        <f aca="false">107*10</f>
        <v>1070</v>
      </c>
      <c r="H9" s="18" t="s">
        <v>9</v>
      </c>
      <c r="I9" s="18"/>
      <c r="J9" s="18"/>
      <c r="K9" s="17"/>
    </row>
    <row r="10" customFormat="false" ht="9" hidden="false" customHeight="true" outlineLevel="0" collapsed="false">
      <c r="B10" s="15"/>
      <c r="C10" s="18"/>
      <c r="D10" s="18"/>
      <c r="E10" s="18"/>
      <c r="F10" s="18"/>
      <c r="G10" s="18"/>
      <c r="H10" s="18"/>
      <c r="I10" s="18"/>
      <c r="J10" s="18"/>
      <c r="K10" s="17"/>
    </row>
    <row r="11" customFormat="false" ht="16.5" hidden="false" customHeight="true" outlineLevel="0" collapsed="false">
      <c r="B11" s="15"/>
      <c r="C11" s="21" t="s">
        <v>10</v>
      </c>
      <c r="D11" s="21"/>
      <c r="E11" s="21"/>
      <c r="H11" s="21" t="s">
        <v>11</v>
      </c>
      <c r="I11" s="21"/>
      <c r="J11" s="21"/>
      <c r="K11" s="17"/>
    </row>
    <row r="12" customFormat="false" ht="12.75" hidden="false" customHeight="true" outlineLevel="0" collapsed="false">
      <c r="B12" s="15"/>
      <c r="C12" s="22"/>
      <c r="D12" s="22"/>
      <c r="E12" s="22"/>
      <c r="H12" s="22"/>
      <c r="I12" s="22"/>
      <c r="J12" s="22"/>
      <c r="K12" s="17"/>
    </row>
    <row r="13" customFormat="false" ht="21" hidden="false" customHeight="true" outlineLevel="0" collapsed="false">
      <c r="B13" s="15"/>
      <c r="C13" s="23" t="s">
        <v>12</v>
      </c>
      <c r="D13" s="24" t="n">
        <v>250</v>
      </c>
      <c r="E13" s="24"/>
      <c r="F13" s="1" t="s">
        <v>13</v>
      </c>
      <c r="H13" s="23" t="s">
        <v>14</v>
      </c>
      <c r="I13" s="24" t="n">
        <v>40</v>
      </c>
      <c r="J13" s="24"/>
      <c r="K13" s="17" t="s">
        <v>13</v>
      </c>
    </row>
    <row r="14" customFormat="false" ht="12.75" hidden="false" customHeight="true" outlineLevel="0" collapsed="false">
      <c r="B14" s="15"/>
      <c r="C14" s="22"/>
      <c r="D14" s="22"/>
      <c r="E14" s="25" t="s">
        <v>15</v>
      </c>
      <c r="H14" s="22"/>
      <c r="I14" s="22"/>
      <c r="J14" s="25" t="s">
        <v>16</v>
      </c>
      <c r="K14" s="17"/>
    </row>
    <row r="15" customFormat="false" ht="24.75" hidden="false" customHeight="true" outlineLevel="0" collapsed="false">
      <c r="B15" s="26"/>
      <c r="C15" s="27" t="s">
        <v>17</v>
      </c>
      <c r="D15" s="28"/>
      <c r="E15" s="27" t="s">
        <v>18</v>
      </c>
      <c r="F15" s="28"/>
      <c r="G15" s="28"/>
      <c r="H15" s="27" t="s">
        <v>17</v>
      </c>
      <c r="I15" s="28"/>
      <c r="J15" s="27" t="s">
        <v>18</v>
      </c>
      <c r="K15" s="17"/>
    </row>
    <row r="16" customFormat="false" ht="24.75" hidden="false" customHeight="true" outlineLevel="0" collapsed="false">
      <c r="B16" s="26"/>
      <c r="C16" s="28" t="n">
        <v>1</v>
      </c>
      <c r="D16" s="28"/>
      <c r="E16" s="29" t="n">
        <v>3.5</v>
      </c>
      <c r="F16" s="28"/>
      <c r="G16" s="28"/>
      <c r="H16" s="28" t="n">
        <v>1</v>
      </c>
      <c r="I16" s="30"/>
      <c r="J16" s="30" t="n">
        <v>17</v>
      </c>
      <c r="K16" s="17"/>
    </row>
    <row r="17" customFormat="false" ht="24.75" hidden="false" customHeight="true" outlineLevel="0" collapsed="false">
      <c r="B17" s="26"/>
      <c r="C17" s="28" t="n">
        <v>2</v>
      </c>
      <c r="D17" s="28"/>
      <c r="E17" s="29" t="n">
        <v>6.5</v>
      </c>
      <c r="F17" s="28"/>
      <c r="G17" s="28"/>
      <c r="H17" s="28" t="n">
        <v>2</v>
      </c>
      <c r="I17" s="30"/>
      <c r="J17" s="30" t="n">
        <v>35</v>
      </c>
      <c r="K17" s="17"/>
    </row>
    <row r="18" customFormat="false" ht="24.75" hidden="false" customHeight="true" outlineLevel="0" collapsed="false">
      <c r="B18" s="26"/>
      <c r="C18" s="28" t="n">
        <v>3</v>
      </c>
      <c r="D18" s="28"/>
      <c r="E18" s="29" t="n">
        <v>9</v>
      </c>
      <c r="F18" s="28"/>
      <c r="G18" s="28"/>
      <c r="H18" s="28" t="n">
        <v>4</v>
      </c>
      <c r="I18" s="30"/>
      <c r="J18" s="30" t="n">
        <v>71</v>
      </c>
      <c r="K18" s="17"/>
    </row>
    <row r="19" customFormat="false" ht="24.75" hidden="false" customHeight="true" outlineLevel="0" collapsed="false">
      <c r="B19" s="26"/>
      <c r="C19" s="28" t="n">
        <v>4</v>
      </c>
      <c r="D19" s="28"/>
      <c r="E19" s="29" t="n">
        <v>11.5</v>
      </c>
      <c r="F19" s="28"/>
      <c r="G19" s="28"/>
      <c r="H19" s="28" t="n">
        <v>5</v>
      </c>
      <c r="I19" s="30"/>
      <c r="J19" s="30" t="n">
        <v>89</v>
      </c>
      <c r="K19" s="17"/>
    </row>
    <row r="20" customFormat="false" ht="24.75" hidden="false" customHeight="true" outlineLevel="0" collapsed="false">
      <c r="B20" s="26"/>
      <c r="C20" s="28" t="n">
        <v>5</v>
      </c>
      <c r="D20" s="28"/>
      <c r="E20" s="29" t="n">
        <v>14</v>
      </c>
      <c r="F20" s="28"/>
      <c r="G20" s="28"/>
      <c r="H20" s="28" t="n">
        <v>6</v>
      </c>
      <c r="I20" s="30"/>
      <c r="J20" s="30" t="n">
        <v>107.5</v>
      </c>
      <c r="K20" s="17"/>
    </row>
    <row r="21" customFormat="false" ht="24.75" hidden="false" customHeight="true" outlineLevel="0" collapsed="false">
      <c r="B21" s="26"/>
      <c r="C21" s="28" t="n">
        <v>6</v>
      </c>
      <c r="D21" s="28"/>
      <c r="E21" s="29" t="n">
        <v>17</v>
      </c>
      <c r="F21" s="28"/>
      <c r="G21" s="28"/>
      <c r="H21" s="28"/>
      <c r="I21" s="30"/>
      <c r="J21" s="30"/>
      <c r="K21" s="17"/>
    </row>
    <row r="22" customFormat="false" ht="24.75" hidden="false" customHeight="true" outlineLevel="0" collapsed="false">
      <c r="B22" s="26"/>
      <c r="C22" s="28" t="n">
        <v>7</v>
      </c>
      <c r="D22" s="28"/>
      <c r="E22" s="29" t="n">
        <v>20</v>
      </c>
      <c r="F22" s="28"/>
      <c r="G22" s="28"/>
      <c r="H22" s="28"/>
      <c r="I22" s="30"/>
      <c r="J22" s="30"/>
      <c r="K22" s="17"/>
    </row>
    <row r="23" customFormat="false" ht="24.75" hidden="false" customHeight="true" outlineLevel="0" collapsed="false">
      <c r="B23" s="26"/>
      <c r="C23" s="28" t="n">
        <v>8</v>
      </c>
      <c r="D23" s="28"/>
      <c r="E23" s="29" t="n">
        <v>22.5</v>
      </c>
      <c r="F23" s="28"/>
      <c r="G23" s="28"/>
      <c r="H23" s="28"/>
      <c r="I23" s="30"/>
      <c r="J23" s="30"/>
      <c r="K23" s="17"/>
    </row>
    <row r="24" customFormat="false" ht="24.75" hidden="false" customHeight="true" outlineLevel="0" collapsed="false">
      <c r="B24" s="26"/>
      <c r="C24" s="28" t="n">
        <v>9</v>
      </c>
      <c r="D24" s="28"/>
      <c r="E24" s="29" t="n">
        <v>25</v>
      </c>
      <c r="F24" s="28"/>
      <c r="G24" s="28"/>
      <c r="H24" s="28"/>
      <c r="I24" s="30"/>
      <c r="J24" s="30"/>
      <c r="K24" s="17"/>
    </row>
    <row r="25" customFormat="false" ht="24.75" hidden="false" customHeight="true" outlineLevel="0" collapsed="false">
      <c r="B25" s="26"/>
      <c r="C25" s="28" t="n">
        <v>10</v>
      </c>
      <c r="D25" s="28"/>
      <c r="E25" s="29" t="n">
        <v>27.5</v>
      </c>
      <c r="F25" s="28"/>
      <c r="G25" s="28"/>
      <c r="H25" s="28"/>
      <c r="I25" s="30"/>
      <c r="J25" s="30"/>
      <c r="K25" s="17"/>
    </row>
    <row r="26" customFormat="false" ht="10.5" hidden="false" customHeight="true" outlineLevel="0" collapsed="false">
      <c r="B26" s="31"/>
      <c r="C26" s="27"/>
      <c r="D26" s="27"/>
      <c r="E26" s="27"/>
      <c r="F26" s="27"/>
      <c r="G26" s="27"/>
      <c r="H26" s="27"/>
      <c r="I26" s="27"/>
      <c r="J26" s="27"/>
      <c r="K26" s="32"/>
    </row>
    <row r="27" customFormat="false" ht="12" hidden="false" customHeight="true" outlineLevel="0" collapsed="false">
      <c r="B27" s="33"/>
      <c r="C27" s="28"/>
      <c r="D27" s="28"/>
      <c r="E27" s="28"/>
      <c r="F27" s="28"/>
      <c r="G27" s="28"/>
      <c r="H27" s="28"/>
      <c r="I27" s="28"/>
      <c r="J27" s="28"/>
    </row>
    <row r="28" customFormat="false" ht="12" hidden="false" customHeight="true" outlineLevel="0" collapsed="false"/>
    <row r="29" customFormat="false" ht="11.25" hidden="false" customHeight="true" outlineLevel="0" collapsed="false"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</row>
    <row r="30" customFormat="false" ht="14.25" hidden="false" customHeight="false" outlineLevel="0" collapsed="false">
      <c r="B30" s="15"/>
      <c r="C30" s="37" t="s">
        <v>19</v>
      </c>
      <c r="D30" s="37"/>
      <c r="E30" s="37"/>
      <c r="F30" s="37"/>
      <c r="G30" s="37"/>
      <c r="H30" s="37"/>
      <c r="I30" s="37"/>
      <c r="K30" s="1"/>
      <c r="L30" s="1"/>
      <c r="M30" s="38"/>
    </row>
    <row r="31" customFormat="false" ht="10.5" hidden="false" customHeight="true" outlineLevel="0" collapsed="false">
      <c r="B31" s="15"/>
      <c r="K31" s="1"/>
      <c r="L31" s="28"/>
      <c r="M31" s="38"/>
    </row>
    <row r="32" customFormat="false" ht="22.5" hidden="false" customHeight="true" outlineLevel="0" collapsed="false">
      <c r="B32" s="15"/>
      <c r="C32" s="39" t="s">
        <v>20</v>
      </c>
      <c r="D32" s="39"/>
      <c r="E32" s="39"/>
      <c r="F32" s="39"/>
      <c r="G32" s="39"/>
      <c r="H32" s="39"/>
      <c r="I32" s="39"/>
      <c r="J32" s="39"/>
      <c r="K32" s="40"/>
      <c r="L32" s="41"/>
      <c r="M32" s="38"/>
    </row>
    <row r="33" customFormat="false" ht="15" hidden="false" customHeight="true" outlineLevel="0" collapsed="false">
      <c r="B33" s="15"/>
      <c r="C33" s="41"/>
      <c r="D33" s="41"/>
      <c r="E33" s="41"/>
      <c r="F33" s="41"/>
      <c r="G33" s="41"/>
      <c r="H33" s="41"/>
      <c r="I33" s="41"/>
      <c r="J33" s="41"/>
      <c r="K33" s="40"/>
      <c r="L33" s="41"/>
      <c r="M33" s="38"/>
    </row>
    <row r="34" customFormat="false" ht="22.5" hidden="false" customHeight="true" outlineLevel="0" collapsed="false">
      <c r="B34" s="15"/>
      <c r="C34" s="41" t="s">
        <v>10</v>
      </c>
      <c r="D34" s="41"/>
      <c r="E34" s="41"/>
      <c r="F34" s="41"/>
      <c r="G34" s="41"/>
      <c r="H34" s="41"/>
      <c r="I34" s="41"/>
      <c r="J34" s="41"/>
      <c r="K34" s="40"/>
      <c r="L34" s="41"/>
      <c r="M34" s="38"/>
      <c r="Q34" s="42"/>
    </row>
    <row r="35" customFormat="false" ht="18.75" hidden="false" customHeight="true" outlineLevel="0" collapsed="false">
      <c r="B35" s="15"/>
      <c r="C35" s="43" t="s">
        <v>21</v>
      </c>
      <c r="D35" s="44" t="s">
        <v>8</v>
      </c>
      <c r="E35" s="27" t="s">
        <v>22</v>
      </c>
      <c r="F35" s="44" t="s">
        <v>8</v>
      </c>
      <c r="G35" s="45" t="str">
        <f aca="false">_xlfn.CONCAT(TEXT(SLOPE(E$16:E$25,C$16:C$25),"0.00")," * ",TEXT(D13,"0")," mm")</f>
        <v>2.68 * 250 mm</v>
      </c>
      <c r="H35" s="45"/>
      <c r="I35" s="44" t="s">
        <v>8</v>
      </c>
      <c r="J35" s="46" t="str">
        <f aca="false">_xlfn.CONCAT(TEXT(SLOPE(E$16:E$25,C$16:C$25) * D$13 / $G$9, "0.000"), " um")</f>
        <v>0.625 um</v>
      </c>
      <c r="K35" s="47"/>
      <c r="L35" s="47"/>
      <c r="M35" s="38"/>
    </row>
    <row r="36" customFormat="false" ht="18.75" hidden="false" customHeight="true" outlineLevel="0" collapsed="false">
      <c r="B36" s="15"/>
      <c r="C36" s="43"/>
      <c r="D36" s="44"/>
      <c r="E36" s="28" t="s">
        <v>23</v>
      </c>
      <c r="F36" s="44"/>
      <c r="G36" s="47" t="str">
        <f aca="false">_xlfn.CONCAT(TEXT(G9, "0"), " mm")</f>
        <v>1070 mm</v>
      </c>
      <c r="H36" s="47"/>
      <c r="I36" s="44"/>
      <c r="J36" s="46"/>
      <c r="K36" s="47"/>
      <c r="L36" s="47"/>
      <c r="M36" s="38"/>
    </row>
    <row r="37" customFormat="false" ht="15" hidden="false" customHeight="true" outlineLevel="0" collapsed="false">
      <c r="B37" s="15"/>
      <c r="C37" s="48"/>
      <c r="D37" s="28"/>
      <c r="E37" s="28"/>
      <c r="F37" s="28"/>
      <c r="G37" s="28"/>
      <c r="H37" s="28"/>
      <c r="I37" s="28"/>
      <c r="J37" s="49"/>
      <c r="K37" s="28"/>
      <c r="L37" s="28"/>
      <c r="M37" s="38"/>
    </row>
    <row r="38" customFormat="false" ht="22.5" hidden="false" customHeight="true" outlineLevel="0" collapsed="false">
      <c r="B38" s="15"/>
      <c r="C38" s="40" t="s">
        <v>11</v>
      </c>
      <c r="D38" s="40"/>
      <c r="E38" s="40"/>
      <c r="F38" s="40"/>
      <c r="G38" s="40"/>
      <c r="H38" s="40"/>
      <c r="I38" s="40"/>
      <c r="J38" s="40"/>
      <c r="K38" s="40"/>
      <c r="L38" s="41"/>
      <c r="M38" s="38"/>
    </row>
    <row r="39" customFormat="false" ht="18.75" hidden="false" customHeight="true" outlineLevel="0" collapsed="false">
      <c r="B39" s="15"/>
      <c r="C39" s="43" t="s">
        <v>21</v>
      </c>
      <c r="D39" s="44" t="s">
        <v>8</v>
      </c>
      <c r="E39" s="27" t="s">
        <v>24</v>
      </c>
      <c r="F39" s="44" t="s">
        <v>8</v>
      </c>
      <c r="G39" s="45" t="str">
        <f aca="false">_xlfn.CONCAT(TEXT(SLOPE(H$16:H$20,J$16:J$20),"0.00")," * ",TEXT(I$13,"0")," mm")</f>
        <v>0.06 * 40 mm</v>
      </c>
      <c r="H39" s="45"/>
      <c r="I39" s="44" t="s">
        <v>8</v>
      </c>
      <c r="J39" s="46" t="str">
        <f aca="false">_xlfn.CONCAT(TEXT(SLOPE(H$16:H$25,J$16:J$25) * I$13 / $G$9, "0.000"), " um")</f>
        <v>0.002 um</v>
      </c>
      <c r="K39" s="47"/>
      <c r="L39" s="47"/>
      <c r="M39" s="38"/>
    </row>
    <row r="40" customFormat="false" ht="18.75" hidden="false" customHeight="true" outlineLevel="0" collapsed="false">
      <c r="B40" s="15"/>
      <c r="C40" s="43"/>
      <c r="D40" s="44"/>
      <c r="E40" s="28" t="s">
        <v>23</v>
      </c>
      <c r="F40" s="44"/>
      <c r="G40" s="47" t="s">
        <v>25</v>
      </c>
      <c r="H40" s="47"/>
      <c r="I40" s="44"/>
      <c r="J40" s="46"/>
      <c r="K40" s="47"/>
      <c r="L40" s="47"/>
      <c r="M40" s="38"/>
    </row>
    <row r="41" customFormat="false" ht="11.25" hidden="false" customHeight="true" outlineLevel="0" collapsed="false">
      <c r="B41" s="50"/>
      <c r="C41" s="8"/>
      <c r="D41" s="8"/>
      <c r="E41" s="8"/>
      <c r="F41" s="8"/>
      <c r="G41" s="8"/>
      <c r="H41" s="8"/>
      <c r="I41" s="8"/>
      <c r="J41" s="8"/>
      <c r="K41" s="8"/>
      <c r="L41" s="8"/>
      <c r="M41" s="51"/>
    </row>
  </sheetData>
  <mergeCells count="31">
    <mergeCell ref="C2:D2"/>
    <mergeCell ref="E2:N2"/>
    <mergeCell ref="C3:D3"/>
    <mergeCell ref="E3:N3"/>
    <mergeCell ref="C4:D4"/>
    <mergeCell ref="J4:K4"/>
    <mergeCell ref="L4:N4"/>
    <mergeCell ref="B5:E5"/>
    <mergeCell ref="C7:J7"/>
    <mergeCell ref="C11:E11"/>
    <mergeCell ref="H11:J11"/>
    <mergeCell ref="D13:E13"/>
    <mergeCell ref="I13:J13"/>
    <mergeCell ref="C30:I30"/>
    <mergeCell ref="C32:J32"/>
    <mergeCell ref="C35:C36"/>
    <mergeCell ref="D35:D36"/>
    <mergeCell ref="F35:F36"/>
    <mergeCell ref="G35:H35"/>
    <mergeCell ref="I35:I36"/>
    <mergeCell ref="J35:J36"/>
    <mergeCell ref="K35:L36"/>
    <mergeCell ref="G36:H36"/>
    <mergeCell ref="C39:C40"/>
    <mergeCell ref="D39:D40"/>
    <mergeCell ref="F39:F40"/>
    <mergeCell ref="G39:H39"/>
    <mergeCell ref="I39:I40"/>
    <mergeCell ref="J39:J40"/>
    <mergeCell ref="K39:L40"/>
    <mergeCell ref="G40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41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G40" activeCellId="0" sqref="G40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0" width="2.82"/>
    <col collapsed="false" customWidth="true" hidden="false" outlineLevel="0" max="2" min="2" style="0" width="2"/>
    <col collapsed="false" customWidth="true" hidden="false" outlineLevel="0" max="3" min="3" style="1" width="10"/>
    <col collapsed="false" customWidth="true" hidden="false" outlineLevel="0" max="4" min="4" style="1" width="2.82"/>
    <col collapsed="false" customWidth="true" hidden="false" outlineLevel="0" max="5" min="5" style="1" width="10"/>
    <col collapsed="false" customWidth="true" hidden="false" outlineLevel="0" max="6" min="6" style="1" width="4.45"/>
    <col collapsed="false" customWidth="true" hidden="false" outlineLevel="0" max="7" min="7" style="1" width="7.93"/>
    <col collapsed="false" customWidth="true" hidden="false" outlineLevel="0" max="8" min="8" style="1" width="10"/>
    <col collapsed="false" customWidth="true" hidden="false" outlineLevel="0" max="9" min="9" style="1" width="2.82"/>
    <col collapsed="false" customWidth="true" hidden="false" outlineLevel="0" max="10" min="10" style="1" width="10"/>
    <col collapsed="false" customWidth="true" hidden="false" outlineLevel="0" max="11" min="11" style="0" width="3.61"/>
    <col collapsed="false" customWidth="true" hidden="false" outlineLevel="0" max="12" min="12" style="0" width="5.27"/>
    <col collapsed="false" customWidth="true" hidden="false" outlineLevel="0" max="13" min="13" style="0" width="2"/>
    <col collapsed="false" customWidth="true" hidden="false" outlineLevel="0" max="14" min="14" style="0" width="8.18"/>
    <col collapsed="false" customWidth="true" hidden="false" outlineLevel="0" max="15" min="15" style="0" width="8.54"/>
    <col collapsed="false" customWidth="true" hidden="false" outlineLevel="0" max="211" min="16" style="0" width="8.68"/>
    <col collapsed="false" customWidth="true" hidden="false" outlineLevel="0" max="212" min="212" style="0" width="2.82"/>
    <col collapsed="false" customWidth="true" hidden="false" outlineLevel="0" max="213" min="213" style="0" width="2"/>
    <col collapsed="false" customWidth="true" hidden="false" outlineLevel="0" max="214" min="214" style="0" width="8.68"/>
    <col collapsed="false" customWidth="true" hidden="false" outlineLevel="0" max="215" min="215" style="0" width="2"/>
    <col collapsed="false" customWidth="true" hidden="false" outlineLevel="0" max="216" min="216" style="0" width="8.68"/>
    <col collapsed="false" customWidth="true" hidden="false" outlineLevel="0" max="217" min="217" style="0" width="2"/>
    <col collapsed="false" customWidth="true" hidden="false" outlineLevel="0" max="218" min="218" style="0" width="8.68"/>
    <col collapsed="false" customWidth="true" hidden="false" outlineLevel="0" max="219" min="219" style="0" width="2"/>
    <col collapsed="false" customWidth="true" hidden="false" outlineLevel="0" max="220" min="220" style="0" width="8.68"/>
    <col collapsed="false" customWidth="true" hidden="false" outlineLevel="0" max="221" min="221" style="0" width="2"/>
    <col collapsed="false" customWidth="true" hidden="false" outlineLevel="0" max="222" min="222" style="0" width="2.82"/>
    <col collapsed="false" customWidth="true" hidden="false" outlineLevel="0" max="223" min="223" style="0" width="2.45"/>
    <col collapsed="false" customWidth="true" hidden="false" outlineLevel="0" max="224" min="224" style="0" width="8.68"/>
    <col collapsed="false" customWidth="true" hidden="false" outlineLevel="0" max="225" min="225" style="0" width="2.45"/>
    <col collapsed="false" customWidth="true" hidden="false" outlineLevel="0" max="226" min="226" style="0" width="8.68"/>
    <col collapsed="false" customWidth="true" hidden="false" outlineLevel="0" max="227" min="227" style="0" width="2.45"/>
    <col collapsed="false" customWidth="true" hidden="false" outlineLevel="0" max="228" min="228" style="0" width="11.73"/>
    <col collapsed="false" customWidth="true" hidden="false" outlineLevel="0" max="229" min="229" style="0" width="2.45"/>
    <col collapsed="false" customWidth="true" hidden="false" outlineLevel="0" max="230" min="230" style="0" width="8.68"/>
    <col collapsed="false" customWidth="true" hidden="false" outlineLevel="0" max="231" min="231" style="0" width="4.73"/>
    <col collapsed="false" customWidth="true" hidden="false" outlineLevel="0" max="232" min="232" style="0" width="2.45"/>
    <col collapsed="false" customWidth="true" hidden="false" outlineLevel="0" max="233" min="233" style="0" width="4"/>
    <col collapsed="false" customWidth="true" hidden="false" outlineLevel="0" max="234" min="234" style="0" width="2.45"/>
    <col collapsed="false" customWidth="true" hidden="false" outlineLevel="0" max="235" min="235" style="0" width="8.68"/>
    <col collapsed="false" customWidth="true" hidden="false" outlineLevel="0" max="236" min="236" style="0" width="2.45"/>
    <col collapsed="false" customWidth="true" hidden="false" outlineLevel="0" max="237" min="237" style="0" width="8.68"/>
    <col collapsed="false" customWidth="true" hidden="false" outlineLevel="0" max="238" min="238" style="0" width="2.45"/>
    <col collapsed="false" customWidth="true" hidden="false" outlineLevel="0" max="239" min="239" style="0" width="11.73"/>
    <col collapsed="false" customWidth="true" hidden="false" outlineLevel="0" max="240" min="240" style="0" width="2.45"/>
    <col collapsed="false" customWidth="true" hidden="false" outlineLevel="0" max="241" min="241" style="0" width="8.68"/>
    <col collapsed="false" customWidth="true" hidden="false" outlineLevel="0" max="242" min="242" style="0" width="4.73"/>
    <col collapsed="false" customWidth="true" hidden="false" outlineLevel="0" max="243" min="243" style="0" width="2.45"/>
    <col collapsed="false" customWidth="true" hidden="false" outlineLevel="0" max="268" min="244" style="0" width="8.68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19</v>
      </c>
      <c r="H4" s="8" t="n">
        <v>2025</v>
      </c>
      <c r="I4" s="8"/>
      <c r="J4" s="9" t="s">
        <v>5</v>
      </c>
      <c r="K4" s="9"/>
      <c r="L4" s="10" t="n">
        <v>4</v>
      </c>
      <c r="M4" s="10"/>
      <c r="N4" s="10"/>
    </row>
    <row r="5" customFormat="false" ht="14.2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4"/>
    </row>
    <row r="7" customFormat="false" ht="21" hidden="false" customHeight="true" outlineLevel="0" collapsed="false">
      <c r="B7" s="15"/>
      <c r="C7" s="16" t="s">
        <v>6</v>
      </c>
      <c r="D7" s="16"/>
      <c r="E7" s="16"/>
      <c r="F7" s="16"/>
      <c r="G7" s="16"/>
      <c r="H7" s="16"/>
      <c r="I7" s="16"/>
      <c r="J7" s="16"/>
      <c r="K7" s="17"/>
    </row>
    <row r="8" customFormat="false" ht="9" hidden="false" customHeight="true" outlineLevel="0" collapsed="false">
      <c r="B8" s="15"/>
      <c r="C8" s="18"/>
      <c r="D8" s="18"/>
      <c r="E8" s="18"/>
      <c r="F8" s="18"/>
      <c r="G8" s="18"/>
      <c r="H8" s="18"/>
      <c r="I8" s="18"/>
      <c r="J8" s="18"/>
      <c r="K8" s="17"/>
    </row>
    <row r="9" customFormat="false" ht="24.75" hidden="false" customHeight="true" outlineLevel="0" collapsed="false">
      <c r="B9" s="15"/>
      <c r="C9" s="18"/>
      <c r="D9" s="18"/>
      <c r="E9" s="19" t="s">
        <v>7</v>
      </c>
      <c r="F9" s="18" t="s">
        <v>8</v>
      </c>
      <c r="G9" s="20" t="n">
        <f aca="false">107*10</f>
        <v>1070</v>
      </c>
      <c r="H9" s="18" t="s">
        <v>9</v>
      </c>
      <c r="I9" s="18"/>
      <c r="J9" s="18"/>
      <c r="K9" s="17"/>
    </row>
    <row r="10" customFormat="false" ht="9" hidden="false" customHeight="true" outlineLevel="0" collapsed="false">
      <c r="B10" s="15"/>
      <c r="C10" s="18"/>
      <c r="D10" s="18"/>
      <c r="E10" s="18"/>
      <c r="F10" s="18"/>
      <c r="G10" s="18"/>
      <c r="H10" s="18"/>
      <c r="I10" s="18"/>
      <c r="J10" s="18"/>
      <c r="K10" s="17"/>
    </row>
    <row r="11" customFormat="false" ht="16.5" hidden="false" customHeight="true" outlineLevel="0" collapsed="false">
      <c r="B11" s="15"/>
      <c r="C11" s="21" t="s">
        <v>10</v>
      </c>
      <c r="D11" s="21"/>
      <c r="E11" s="21"/>
      <c r="H11" s="21" t="s">
        <v>11</v>
      </c>
      <c r="I11" s="21"/>
      <c r="J11" s="21"/>
      <c r="K11" s="17"/>
    </row>
    <row r="12" customFormat="false" ht="12.75" hidden="false" customHeight="true" outlineLevel="0" collapsed="false">
      <c r="B12" s="15"/>
      <c r="C12" s="22"/>
      <c r="D12" s="22"/>
      <c r="E12" s="22"/>
      <c r="H12" s="22"/>
      <c r="I12" s="22"/>
      <c r="J12" s="22"/>
      <c r="K12" s="17"/>
    </row>
    <row r="13" customFormat="false" ht="21" hidden="false" customHeight="true" outlineLevel="0" collapsed="false">
      <c r="B13" s="15"/>
      <c r="C13" s="23" t="s">
        <v>12</v>
      </c>
      <c r="D13" s="24" t="n">
        <v>500</v>
      </c>
      <c r="E13" s="24"/>
      <c r="F13" s="1" t="s">
        <v>13</v>
      </c>
      <c r="H13" s="23" t="s">
        <v>14</v>
      </c>
      <c r="I13" s="24" t="n">
        <v>40</v>
      </c>
      <c r="J13" s="24"/>
      <c r="K13" s="17" t="s">
        <v>13</v>
      </c>
    </row>
    <row r="14" customFormat="false" ht="12.75" hidden="false" customHeight="true" outlineLevel="0" collapsed="false">
      <c r="B14" s="15"/>
      <c r="C14" s="22"/>
      <c r="D14" s="22"/>
      <c r="E14" s="25" t="s">
        <v>15</v>
      </c>
      <c r="H14" s="22"/>
      <c r="I14" s="22"/>
      <c r="J14" s="25" t="s">
        <v>16</v>
      </c>
      <c r="K14" s="17"/>
    </row>
    <row r="15" customFormat="false" ht="24.75" hidden="false" customHeight="true" outlineLevel="0" collapsed="false">
      <c r="B15" s="26"/>
      <c r="C15" s="27" t="s">
        <v>17</v>
      </c>
      <c r="D15" s="28"/>
      <c r="E15" s="27" t="s">
        <v>18</v>
      </c>
      <c r="F15" s="28"/>
      <c r="G15" s="28"/>
      <c r="H15" s="27" t="s">
        <v>17</v>
      </c>
      <c r="I15" s="28"/>
      <c r="J15" s="27" t="s">
        <v>18</v>
      </c>
      <c r="K15" s="17"/>
    </row>
    <row r="16" customFormat="false" ht="24.75" hidden="false" customHeight="true" outlineLevel="0" collapsed="false">
      <c r="B16" s="26"/>
      <c r="C16" s="28" t="n">
        <v>1</v>
      </c>
      <c r="D16" s="28"/>
      <c r="E16" s="29" t="n">
        <v>1</v>
      </c>
      <c r="F16" s="28"/>
      <c r="G16" s="28"/>
      <c r="H16" s="28" t="n">
        <v>1</v>
      </c>
      <c r="I16" s="30"/>
      <c r="J16" s="30" t="n">
        <v>18</v>
      </c>
      <c r="K16" s="17"/>
    </row>
    <row r="17" customFormat="false" ht="24.75" hidden="false" customHeight="true" outlineLevel="0" collapsed="false">
      <c r="B17" s="26"/>
      <c r="C17" s="28" t="n">
        <v>2</v>
      </c>
      <c r="D17" s="28"/>
      <c r="E17" s="29" t="n">
        <v>2.5</v>
      </c>
      <c r="F17" s="28"/>
      <c r="G17" s="28"/>
      <c r="H17" s="28" t="n">
        <v>2</v>
      </c>
      <c r="I17" s="30"/>
      <c r="J17" s="30" t="n">
        <v>36</v>
      </c>
      <c r="K17" s="17"/>
    </row>
    <row r="18" customFormat="false" ht="24.75" hidden="false" customHeight="true" outlineLevel="0" collapsed="false">
      <c r="B18" s="26"/>
      <c r="C18" s="28" t="n">
        <v>3</v>
      </c>
      <c r="D18" s="28"/>
      <c r="E18" s="29" t="n">
        <v>4</v>
      </c>
      <c r="F18" s="28"/>
      <c r="G18" s="28"/>
      <c r="H18" s="28" t="n">
        <v>4</v>
      </c>
      <c r="I18" s="30"/>
      <c r="J18" s="30" t="n">
        <f aca="false">36*2</f>
        <v>72</v>
      </c>
      <c r="K18" s="17"/>
    </row>
    <row r="19" customFormat="false" ht="24.75" hidden="false" customHeight="true" outlineLevel="0" collapsed="false">
      <c r="B19" s="26"/>
      <c r="C19" s="28" t="n">
        <v>4</v>
      </c>
      <c r="D19" s="28"/>
      <c r="E19" s="29" t="n">
        <v>5.5</v>
      </c>
      <c r="F19" s="28"/>
      <c r="G19" s="28"/>
      <c r="H19" s="28" t="n">
        <v>5</v>
      </c>
      <c r="I19" s="30"/>
      <c r="J19" s="30" t="n">
        <f aca="false">44.5*2</f>
        <v>89</v>
      </c>
      <c r="K19" s="17"/>
    </row>
    <row r="20" customFormat="false" ht="24.75" hidden="false" customHeight="true" outlineLevel="0" collapsed="false">
      <c r="B20" s="26"/>
      <c r="C20" s="28" t="n">
        <v>5</v>
      </c>
      <c r="D20" s="28"/>
      <c r="E20" s="29" t="n">
        <v>7</v>
      </c>
      <c r="F20" s="28"/>
      <c r="G20" s="28"/>
      <c r="H20" s="28" t="n">
        <v>6</v>
      </c>
      <c r="I20" s="30"/>
      <c r="J20" s="30" t="n">
        <f aca="false">53*2</f>
        <v>106</v>
      </c>
      <c r="K20" s="17"/>
    </row>
    <row r="21" customFormat="false" ht="24.75" hidden="false" customHeight="true" outlineLevel="0" collapsed="false">
      <c r="B21" s="26"/>
      <c r="C21" s="28" t="n">
        <v>6</v>
      </c>
      <c r="D21" s="28"/>
      <c r="E21" s="29" t="n">
        <v>8</v>
      </c>
      <c r="F21" s="28"/>
      <c r="G21" s="28"/>
      <c r="H21" s="28"/>
      <c r="I21" s="30"/>
      <c r="J21" s="30"/>
      <c r="K21" s="17"/>
    </row>
    <row r="22" customFormat="false" ht="24.75" hidden="false" customHeight="true" outlineLevel="0" collapsed="false">
      <c r="B22" s="26"/>
      <c r="C22" s="28" t="n">
        <v>7</v>
      </c>
      <c r="D22" s="28"/>
      <c r="E22" s="29" t="n">
        <v>9.5</v>
      </c>
      <c r="F22" s="28"/>
      <c r="G22" s="28"/>
      <c r="H22" s="28"/>
      <c r="I22" s="30"/>
      <c r="J22" s="30"/>
      <c r="K22" s="17"/>
    </row>
    <row r="23" customFormat="false" ht="24.75" hidden="false" customHeight="true" outlineLevel="0" collapsed="false">
      <c r="B23" s="26"/>
      <c r="C23" s="28" t="n">
        <v>8</v>
      </c>
      <c r="D23" s="28"/>
      <c r="E23" s="29" t="n">
        <v>11</v>
      </c>
      <c r="F23" s="28"/>
      <c r="G23" s="28"/>
      <c r="H23" s="28"/>
      <c r="I23" s="30"/>
      <c r="J23" s="30"/>
      <c r="K23" s="17"/>
    </row>
    <row r="24" customFormat="false" ht="24.75" hidden="false" customHeight="true" outlineLevel="0" collapsed="false">
      <c r="B24" s="26"/>
      <c r="C24" s="28" t="n">
        <v>9</v>
      </c>
      <c r="D24" s="28"/>
      <c r="E24" s="29" t="n">
        <v>12.5</v>
      </c>
      <c r="F24" s="28"/>
      <c r="G24" s="28"/>
      <c r="H24" s="28"/>
      <c r="I24" s="30"/>
      <c r="J24" s="30"/>
      <c r="K24" s="17"/>
    </row>
    <row r="25" customFormat="false" ht="24.75" hidden="false" customHeight="true" outlineLevel="0" collapsed="false">
      <c r="B25" s="26"/>
      <c r="C25" s="28" t="n">
        <v>10</v>
      </c>
      <c r="D25" s="28"/>
      <c r="E25" s="29" t="n">
        <v>14</v>
      </c>
      <c r="F25" s="28"/>
      <c r="G25" s="28"/>
      <c r="H25" s="28"/>
      <c r="I25" s="30"/>
      <c r="J25" s="30"/>
      <c r="K25" s="17"/>
    </row>
    <row r="26" customFormat="false" ht="10.5" hidden="false" customHeight="true" outlineLevel="0" collapsed="false">
      <c r="B26" s="31"/>
      <c r="C26" s="27"/>
      <c r="D26" s="27"/>
      <c r="E26" s="27"/>
      <c r="F26" s="27"/>
      <c r="G26" s="27"/>
      <c r="H26" s="27"/>
      <c r="I26" s="27"/>
      <c r="J26" s="27"/>
      <c r="K26" s="32"/>
    </row>
    <row r="27" customFormat="false" ht="12" hidden="false" customHeight="true" outlineLevel="0" collapsed="false">
      <c r="B27" s="33"/>
      <c r="C27" s="28"/>
      <c r="D27" s="28"/>
      <c r="E27" s="28"/>
      <c r="F27" s="28"/>
      <c r="G27" s="28"/>
      <c r="H27" s="28"/>
      <c r="I27" s="28"/>
      <c r="J27" s="28"/>
    </row>
    <row r="28" customFormat="false" ht="12" hidden="false" customHeight="true" outlineLevel="0" collapsed="false"/>
    <row r="29" customFormat="false" ht="11.25" hidden="false" customHeight="true" outlineLevel="0" collapsed="false"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</row>
    <row r="30" customFormat="false" ht="14.25" hidden="false" customHeight="false" outlineLevel="0" collapsed="false">
      <c r="B30" s="15"/>
      <c r="C30" s="37" t="s">
        <v>19</v>
      </c>
      <c r="D30" s="37"/>
      <c r="E30" s="37"/>
      <c r="F30" s="37"/>
      <c r="G30" s="37"/>
      <c r="H30" s="37"/>
      <c r="I30" s="37"/>
      <c r="K30" s="1"/>
      <c r="L30" s="1"/>
      <c r="M30" s="38"/>
    </row>
    <row r="31" customFormat="false" ht="10.5" hidden="false" customHeight="true" outlineLevel="0" collapsed="false">
      <c r="B31" s="15"/>
      <c r="K31" s="1"/>
      <c r="L31" s="28"/>
      <c r="M31" s="38"/>
    </row>
    <row r="32" customFormat="false" ht="22.5" hidden="false" customHeight="true" outlineLevel="0" collapsed="false">
      <c r="B32" s="15"/>
      <c r="C32" s="39" t="s">
        <v>20</v>
      </c>
      <c r="D32" s="39"/>
      <c r="E32" s="39"/>
      <c r="F32" s="39"/>
      <c r="G32" s="39"/>
      <c r="H32" s="39"/>
      <c r="I32" s="39"/>
      <c r="J32" s="39"/>
      <c r="K32" s="40"/>
      <c r="L32" s="41"/>
      <c r="M32" s="38"/>
    </row>
    <row r="33" customFormat="false" ht="15" hidden="false" customHeight="true" outlineLevel="0" collapsed="false">
      <c r="B33" s="15"/>
      <c r="C33" s="41"/>
      <c r="D33" s="41"/>
      <c r="E33" s="41"/>
      <c r="F33" s="41"/>
      <c r="G33" s="41"/>
      <c r="H33" s="41"/>
      <c r="I33" s="41"/>
      <c r="J33" s="41"/>
      <c r="K33" s="40"/>
      <c r="L33" s="41"/>
      <c r="M33" s="38"/>
    </row>
    <row r="34" customFormat="false" ht="22.5" hidden="false" customHeight="true" outlineLevel="0" collapsed="false">
      <c r="B34" s="15"/>
      <c r="C34" s="41" t="s">
        <v>10</v>
      </c>
      <c r="D34" s="41"/>
      <c r="E34" s="41"/>
      <c r="F34" s="41"/>
      <c r="G34" s="41"/>
      <c r="H34" s="41"/>
      <c r="I34" s="41"/>
      <c r="J34" s="41"/>
      <c r="K34" s="40"/>
      <c r="L34" s="41"/>
      <c r="M34" s="38"/>
      <c r="Q34" s="42"/>
    </row>
    <row r="35" customFormat="false" ht="18.75" hidden="false" customHeight="true" outlineLevel="0" collapsed="false">
      <c r="B35" s="15"/>
      <c r="C35" s="43" t="s">
        <v>21</v>
      </c>
      <c r="D35" s="44" t="s">
        <v>8</v>
      </c>
      <c r="E35" s="27" t="s">
        <v>22</v>
      </c>
      <c r="F35" s="44" t="s">
        <v>8</v>
      </c>
      <c r="G35" s="45" t="str">
        <f aca="false">_xlfn.CONCAT(TEXT(SLOPE(E$16:E$25,C$16:C$25),"0.00")," * ",TEXT(D13,"0")," mm")</f>
        <v>1.42 * 500 mm</v>
      </c>
      <c r="H35" s="45"/>
      <c r="I35" s="44" t="s">
        <v>8</v>
      </c>
      <c r="J35" s="46" t="str">
        <f aca="false">_xlfn.CONCAT(TEXT(SLOPE(E$16:E$25,C$16:C$25) * D$13 / $G$9, "0.000"), " um")</f>
        <v>0.666 um</v>
      </c>
      <c r="K35" s="47"/>
      <c r="L35" s="47"/>
      <c r="M35" s="38"/>
    </row>
    <row r="36" customFormat="false" ht="18.75" hidden="false" customHeight="true" outlineLevel="0" collapsed="false">
      <c r="B36" s="15"/>
      <c r="C36" s="43"/>
      <c r="D36" s="44"/>
      <c r="E36" s="28" t="s">
        <v>23</v>
      </c>
      <c r="F36" s="44"/>
      <c r="G36" s="47" t="str">
        <f aca="false">_xlfn.CONCAT(TEXT(G9, "0"), " mm")</f>
        <v>1070 mm</v>
      </c>
      <c r="H36" s="47"/>
      <c r="I36" s="44"/>
      <c r="J36" s="46"/>
      <c r="K36" s="47"/>
      <c r="L36" s="47"/>
      <c r="M36" s="38"/>
    </row>
    <row r="37" customFormat="false" ht="15" hidden="false" customHeight="true" outlineLevel="0" collapsed="false">
      <c r="B37" s="15"/>
      <c r="C37" s="48"/>
      <c r="D37" s="28"/>
      <c r="E37" s="28"/>
      <c r="F37" s="28"/>
      <c r="G37" s="28"/>
      <c r="H37" s="28"/>
      <c r="I37" s="28"/>
      <c r="J37" s="49"/>
      <c r="K37" s="28"/>
      <c r="L37" s="28"/>
      <c r="M37" s="38"/>
    </row>
    <row r="38" customFormat="false" ht="22.5" hidden="false" customHeight="true" outlineLevel="0" collapsed="false">
      <c r="B38" s="15"/>
      <c r="C38" s="40" t="s">
        <v>11</v>
      </c>
      <c r="D38" s="40"/>
      <c r="E38" s="40"/>
      <c r="F38" s="40"/>
      <c r="G38" s="40"/>
      <c r="H38" s="40"/>
      <c r="I38" s="40"/>
      <c r="J38" s="40"/>
      <c r="K38" s="40"/>
      <c r="L38" s="41"/>
      <c r="M38" s="38"/>
    </row>
    <row r="39" customFormat="false" ht="18.75" hidden="false" customHeight="true" outlineLevel="0" collapsed="false">
      <c r="B39" s="15"/>
      <c r="C39" s="43" t="s">
        <v>21</v>
      </c>
      <c r="D39" s="44" t="s">
        <v>8</v>
      </c>
      <c r="E39" s="27" t="s">
        <v>24</v>
      </c>
      <c r="F39" s="44" t="s">
        <v>8</v>
      </c>
      <c r="G39" s="45" t="str">
        <f aca="false">_xlfn.CONCAT(TEXT(17.64,"0.00")," * ",TEXT(I$13,"0")," mm")</f>
        <v>17.64 * 40 mm</v>
      </c>
      <c r="H39" s="45"/>
      <c r="I39" s="44" t="s">
        <v>8</v>
      </c>
      <c r="J39" s="46" t="str">
        <f aca="false">_xlfn.CONCAT(TEXT(17.64 * I$13 / $G$9, "0.000"), " um")</f>
        <v>0.659 um</v>
      </c>
      <c r="K39" s="47"/>
      <c r="L39" s="47"/>
      <c r="M39" s="38"/>
    </row>
    <row r="40" customFormat="false" ht="18.75" hidden="false" customHeight="true" outlineLevel="0" collapsed="false">
      <c r="B40" s="15"/>
      <c r="C40" s="43"/>
      <c r="D40" s="44"/>
      <c r="E40" s="28" t="s">
        <v>23</v>
      </c>
      <c r="F40" s="44"/>
      <c r="G40" s="47" t="str">
        <f aca="false">_xlfn.CONCAT(TEXT(G13, "0"), " mm")</f>
        <v>0 mm</v>
      </c>
      <c r="H40" s="47"/>
      <c r="I40" s="44"/>
      <c r="J40" s="46"/>
      <c r="K40" s="47"/>
      <c r="L40" s="47"/>
      <c r="M40" s="38"/>
    </row>
    <row r="41" customFormat="false" ht="11.25" hidden="false" customHeight="true" outlineLevel="0" collapsed="false">
      <c r="B41" s="50"/>
      <c r="C41" s="8"/>
      <c r="D41" s="8"/>
      <c r="E41" s="8"/>
      <c r="F41" s="8"/>
      <c r="G41" s="8"/>
      <c r="H41" s="8"/>
      <c r="I41" s="8"/>
      <c r="J41" s="8"/>
      <c r="K41" s="8"/>
      <c r="L41" s="8"/>
      <c r="M41" s="51"/>
    </row>
  </sheetData>
  <mergeCells count="31">
    <mergeCell ref="C2:D2"/>
    <mergeCell ref="E2:N2"/>
    <mergeCell ref="C3:D3"/>
    <mergeCell ref="E3:N3"/>
    <mergeCell ref="C4:D4"/>
    <mergeCell ref="J4:K4"/>
    <mergeCell ref="L4:N4"/>
    <mergeCell ref="B5:E5"/>
    <mergeCell ref="C7:J7"/>
    <mergeCell ref="C11:E11"/>
    <mergeCell ref="H11:J11"/>
    <mergeCell ref="D13:E13"/>
    <mergeCell ref="I13:J13"/>
    <mergeCell ref="C30:I30"/>
    <mergeCell ref="C32:J32"/>
    <mergeCell ref="C35:C36"/>
    <mergeCell ref="D35:D36"/>
    <mergeCell ref="F35:F36"/>
    <mergeCell ref="G35:H35"/>
    <mergeCell ref="I35:I36"/>
    <mergeCell ref="J35:J36"/>
    <mergeCell ref="K35:L36"/>
    <mergeCell ref="G36:H36"/>
    <mergeCell ref="C39:C40"/>
    <mergeCell ref="D39:D40"/>
    <mergeCell ref="F39:F40"/>
    <mergeCell ref="G39:H39"/>
    <mergeCell ref="I39:I40"/>
    <mergeCell ref="J39:J40"/>
    <mergeCell ref="K39:L40"/>
    <mergeCell ref="G40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41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K12" activeCellId="0" sqref="K12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0" width="2.82"/>
    <col collapsed="false" customWidth="true" hidden="false" outlineLevel="0" max="2" min="2" style="0" width="2"/>
    <col collapsed="false" customWidth="true" hidden="false" outlineLevel="0" max="3" min="3" style="1" width="10"/>
    <col collapsed="false" customWidth="true" hidden="false" outlineLevel="0" max="4" min="4" style="1" width="2.82"/>
    <col collapsed="false" customWidth="true" hidden="false" outlineLevel="0" max="5" min="5" style="1" width="10"/>
    <col collapsed="false" customWidth="true" hidden="false" outlineLevel="0" max="6" min="6" style="1" width="3.89"/>
    <col collapsed="false" customWidth="true" hidden="false" outlineLevel="0" max="7" min="7" style="1" width="7.93"/>
    <col collapsed="false" customWidth="true" hidden="false" outlineLevel="0" max="8" min="8" style="1" width="10"/>
    <col collapsed="false" customWidth="true" hidden="false" outlineLevel="0" max="9" min="9" style="1" width="2.82"/>
    <col collapsed="false" customWidth="true" hidden="false" outlineLevel="0" max="10" min="10" style="1" width="10"/>
    <col collapsed="false" customWidth="true" hidden="false" outlineLevel="0" max="11" min="11" style="0" width="4.31"/>
    <col collapsed="false" customWidth="true" hidden="false" outlineLevel="0" max="12" min="12" style="0" width="5.27"/>
    <col collapsed="false" customWidth="true" hidden="false" outlineLevel="0" max="13" min="13" style="0" width="2"/>
    <col collapsed="false" customWidth="true" hidden="false" outlineLevel="0" max="14" min="14" style="0" width="8.18"/>
    <col collapsed="false" customWidth="true" hidden="false" outlineLevel="0" max="15" min="15" style="0" width="8.54"/>
    <col collapsed="false" customWidth="true" hidden="false" outlineLevel="0" max="211" min="16" style="0" width="8.68"/>
    <col collapsed="false" customWidth="true" hidden="false" outlineLevel="0" max="212" min="212" style="0" width="2.82"/>
    <col collapsed="false" customWidth="true" hidden="false" outlineLevel="0" max="213" min="213" style="0" width="2"/>
    <col collapsed="false" customWidth="true" hidden="false" outlineLevel="0" max="214" min="214" style="0" width="8.68"/>
    <col collapsed="false" customWidth="true" hidden="false" outlineLevel="0" max="215" min="215" style="0" width="2"/>
    <col collapsed="false" customWidth="true" hidden="false" outlineLevel="0" max="216" min="216" style="0" width="8.68"/>
    <col collapsed="false" customWidth="true" hidden="false" outlineLevel="0" max="217" min="217" style="0" width="2"/>
    <col collapsed="false" customWidth="true" hidden="false" outlineLevel="0" max="218" min="218" style="0" width="8.68"/>
    <col collapsed="false" customWidth="true" hidden="false" outlineLevel="0" max="219" min="219" style="0" width="2"/>
    <col collapsed="false" customWidth="true" hidden="false" outlineLevel="0" max="220" min="220" style="0" width="8.68"/>
    <col collapsed="false" customWidth="true" hidden="false" outlineLevel="0" max="221" min="221" style="0" width="2"/>
    <col collapsed="false" customWidth="true" hidden="false" outlineLevel="0" max="222" min="222" style="0" width="2.82"/>
    <col collapsed="false" customWidth="true" hidden="false" outlineLevel="0" max="223" min="223" style="0" width="2.45"/>
    <col collapsed="false" customWidth="true" hidden="false" outlineLevel="0" max="224" min="224" style="0" width="8.68"/>
    <col collapsed="false" customWidth="true" hidden="false" outlineLevel="0" max="225" min="225" style="0" width="2.45"/>
    <col collapsed="false" customWidth="true" hidden="false" outlineLevel="0" max="226" min="226" style="0" width="8.68"/>
    <col collapsed="false" customWidth="true" hidden="false" outlineLevel="0" max="227" min="227" style="0" width="2.45"/>
    <col collapsed="false" customWidth="true" hidden="false" outlineLevel="0" max="228" min="228" style="0" width="11.73"/>
    <col collapsed="false" customWidth="true" hidden="false" outlineLevel="0" max="229" min="229" style="0" width="2.45"/>
    <col collapsed="false" customWidth="true" hidden="false" outlineLevel="0" max="230" min="230" style="0" width="8.68"/>
    <col collapsed="false" customWidth="true" hidden="false" outlineLevel="0" max="231" min="231" style="0" width="4.73"/>
    <col collapsed="false" customWidth="true" hidden="false" outlineLevel="0" max="232" min="232" style="0" width="2.45"/>
    <col collapsed="false" customWidth="true" hidden="false" outlineLevel="0" max="233" min="233" style="0" width="4"/>
    <col collapsed="false" customWidth="true" hidden="false" outlineLevel="0" max="234" min="234" style="0" width="2.45"/>
    <col collapsed="false" customWidth="true" hidden="false" outlineLevel="0" max="235" min="235" style="0" width="8.68"/>
    <col collapsed="false" customWidth="true" hidden="false" outlineLevel="0" max="236" min="236" style="0" width="2.45"/>
    <col collapsed="false" customWidth="true" hidden="false" outlineLevel="0" max="237" min="237" style="0" width="8.68"/>
    <col collapsed="false" customWidth="true" hidden="false" outlineLevel="0" max="238" min="238" style="0" width="2.45"/>
    <col collapsed="false" customWidth="true" hidden="false" outlineLevel="0" max="239" min="239" style="0" width="11.73"/>
    <col collapsed="false" customWidth="true" hidden="false" outlineLevel="0" max="240" min="240" style="0" width="2.45"/>
    <col collapsed="false" customWidth="true" hidden="false" outlineLevel="0" max="241" min="241" style="0" width="8.68"/>
    <col collapsed="false" customWidth="true" hidden="false" outlineLevel="0" max="242" min="242" style="0" width="4.73"/>
    <col collapsed="false" customWidth="true" hidden="false" outlineLevel="0" max="243" min="243" style="0" width="2.45"/>
    <col collapsed="false" customWidth="true" hidden="false" outlineLevel="0" max="268" min="244" style="0" width="8.68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19</v>
      </c>
      <c r="H4" s="8" t="n">
        <v>2025</v>
      </c>
      <c r="I4" s="8"/>
      <c r="J4" s="9" t="s">
        <v>5</v>
      </c>
      <c r="K4" s="9"/>
      <c r="L4" s="10" t="n">
        <v>4</v>
      </c>
      <c r="M4" s="10"/>
      <c r="N4" s="10"/>
    </row>
    <row r="5" customFormat="false" ht="14.2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4"/>
    </row>
    <row r="7" customFormat="false" ht="21" hidden="false" customHeight="true" outlineLevel="0" collapsed="false">
      <c r="B7" s="15"/>
      <c r="C7" s="16" t="s">
        <v>6</v>
      </c>
      <c r="D7" s="16"/>
      <c r="E7" s="16"/>
      <c r="F7" s="16"/>
      <c r="G7" s="16"/>
      <c r="H7" s="16"/>
      <c r="I7" s="16"/>
      <c r="J7" s="16"/>
      <c r="K7" s="17"/>
    </row>
    <row r="8" customFormat="false" ht="9" hidden="false" customHeight="true" outlineLevel="0" collapsed="false">
      <c r="B8" s="15"/>
      <c r="C8" s="18"/>
      <c r="D8" s="18"/>
      <c r="E8" s="18"/>
      <c r="F8" s="18"/>
      <c r="G8" s="18"/>
      <c r="H8" s="18"/>
      <c r="I8" s="18"/>
      <c r="J8" s="18"/>
      <c r="K8" s="17"/>
    </row>
    <row r="9" customFormat="false" ht="24.75" hidden="false" customHeight="true" outlineLevel="0" collapsed="false">
      <c r="B9" s="15"/>
      <c r="C9" s="18"/>
      <c r="D9" s="18"/>
      <c r="E9" s="19" t="s">
        <v>7</v>
      </c>
      <c r="F9" s="18" t="s">
        <v>8</v>
      </c>
      <c r="G9" s="20" t="n">
        <f aca="false">107*10</f>
        <v>1070</v>
      </c>
      <c r="H9" s="18" t="s">
        <v>9</v>
      </c>
      <c r="I9" s="18"/>
      <c r="J9" s="18"/>
      <c r="K9" s="17"/>
    </row>
    <row r="10" customFormat="false" ht="9" hidden="false" customHeight="true" outlineLevel="0" collapsed="false">
      <c r="B10" s="15"/>
      <c r="C10" s="18"/>
      <c r="D10" s="18"/>
      <c r="E10" s="18"/>
      <c r="F10" s="18"/>
      <c r="G10" s="18"/>
      <c r="H10" s="18"/>
      <c r="I10" s="18"/>
      <c r="J10" s="18"/>
      <c r="K10" s="17"/>
    </row>
    <row r="11" customFormat="false" ht="16.5" hidden="false" customHeight="true" outlineLevel="0" collapsed="false">
      <c r="B11" s="15"/>
      <c r="C11" s="21" t="s">
        <v>10</v>
      </c>
      <c r="D11" s="21"/>
      <c r="E11" s="21"/>
      <c r="H11" s="21" t="s">
        <v>11</v>
      </c>
      <c r="I11" s="21"/>
      <c r="J11" s="21"/>
      <c r="K11" s="17"/>
    </row>
    <row r="12" customFormat="false" ht="12.75" hidden="false" customHeight="true" outlineLevel="0" collapsed="false">
      <c r="B12" s="15"/>
      <c r="C12" s="22"/>
      <c r="D12" s="22"/>
      <c r="E12" s="22"/>
      <c r="H12" s="22"/>
      <c r="I12" s="22"/>
      <c r="J12" s="22"/>
      <c r="K12" s="17"/>
    </row>
    <row r="13" customFormat="false" ht="21" hidden="false" customHeight="true" outlineLevel="0" collapsed="false">
      <c r="B13" s="15"/>
      <c r="C13" s="23" t="s">
        <v>12</v>
      </c>
      <c r="D13" s="24" t="n">
        <f aca="false">0.25*1000</f>
        <v>250</v>
      </c>
      <c r="E13" s="24"/>
      <c r="F13" s="1" t="s">
        <v>13</v>
      </c>
      <c r="H13" s="23" t="s">
        <v>14</v>
      </c>
      <c r="I13" s="24" t="n">
        <f aca="false">0.08*1000</f>
        <v>80</v>
      </c>
      <c r="J13" s="24"/>
      <c r="K13" s="17" t="s">
        <v>13</v>
      </c>
    </row>
    <row r="14" customFormat="false" ht="12.75" hidden="false" customHeight="true" outlineLevel="0" collapsed="false">
      <c r="B14" s="15"/>
      <c r="C14" s="22"/>
      <c r="D14" s="22"/>
      <c r="E14" s="25" t="s">
        <v>15</v>
      </c>
      <c r="H14" s="22"/>
      <c r="I14" s="22"/>
      <c r="J14" s="25" t="s">
        <v>16</v>
      </c>
      <c r="K14" s="17"/>
    </row>
    <row r="15" customFormat="false" ht="24.75" hidden="false" customHeight="true" outlineLevel="0" collapsed="false">
      <c r="B15" s="26"/>
      <c r="C15" s="27" t="s">
        <v>17</v>
      </c>
      <c r="D15" s="28"/>
      <c r="E15" s="27" t="s">
        <v>18</v>
      </c>
      <c r="F15" s="28"/>
      <c r="G15" s="28"/>
      <c r="H15" s="27" t="s">
        <v>17</v>
      </c>
      <c r="I15" s="28"/>
      <c r="J15" s="27" t="s">
        <v>18</v>
      </c>
      <c r="K15" s="17"/>
    </row>
    <row r="16" customFormat="false" ht="24.75" hidden="false" customHeight="true" outlineLevel="0" collapsed="false">
      <c r="B16" s="26"/>
      <c r="C16" s="28" t="n">
        <v>1</v>
      </c>
      <c r="D16" s="28"/>
      <c r="E16" s="29" t="n">
        <v>19</v>
      </c>
      <c r="F16" s="28"/>
      <c r="G16" s="28"/>
      <c r="H16" s="28" t="n">
        <v>1</v>
      </c>
      <c r="I16" s="30"/>
      <c r="J16" s="30" t="n">
        <f aca="false">15.5-6</f>
        <v>9.5</v>
      </c>
      <c r="K16" s="17"/>
    </row>
    <row r="17" customFormat="false" ht="24.75" hidden="false" customHeight="true" outlineLevel="0" collapsed="false">
      <c r="B17" s="26"/>
      <c r="C17" s="28" t="n">
        <v>2</v>
      </c>
      <c r="D17" s="28"/>
      <c r="E17" s="29" t="n">
        <v>22</v>
      </c>
      <c r="F17" s="28"/>
      <c r="G17" s="28"/>
      <c r="H17" s="28" t="n">
        <v>3</v>
      </c>
      <c r="I17" s="30"/>
      <c r="J17" s="30" t="n">
        <f aca="false">-6+34</f>
        <v>28</v>
      </c>
      <c r="K17" s="17"/>
    </row>
    <row r="18" customFormat="false" ht="24.75" hidden="false" customHeight="true" outlineLevel="0" collapsed="false">
      <c r="B18" s="26"/>
      <c r="C18" s="28" t="n">
        <v>3</v>
      </c>
      <c r="D18" s="28"/>
      <c r="E18" s="29" t="n">
        <v>24.5</v>
      </c>
      <c r="F18" s="28"/>
      <c r="G18" s="28"/>
      <c r="H18" s="28" t="n">
        <v>4</v>
      </c>
      <c r="I18" s="30"/>
      <c r="J18" s="30" t="n">
        <f aca="false">43-6</f>
        <v>37</v>
      </c>
      <c r="K18" s="17"/>
    </row>
    <row r="19" customFormat="false" ht="24.75" hidden="false" customHeight="true" outlineLevel="0" collapsed="false">
      <c r="B19" s="26"/>
      <c r="C19" s="28" t="n">
        <v>4</v>
      </c>
      <c r="D19" s="28"/>
      <c r="E19" s="29" t="n">
        <v>27.5</v>
      </c>
      <c r="F19" s="28"/>
      <c r="G19" s="28"/>
      <c r="H19" s="28" t="n">
        <v>5</v>
      </c>
      <c r="I19" s="30"/>
      <c r="J19" s="30" t="n">
        <f aca="false">51.5-6</f>
        <v>45.5</v>
      </c>
      <c r="K19" s="17"/>
    </row>
    <row r="20" customFormat="false" ht="24.75" hidden="false" customHeight="true" outlineLevel="0" collapsed="false">
      <c r="B20" s="26"/>
      <c r="C20" s="28" t="n">
        <v>5</v>
      </c>
      <c r="D20" s="28"/>
      <c r="E20" s="29" t="n">
        <v>30</v>
      </c>
      <c r="F20" s="28"/>
      <c r="G20" s="28"/>
      <c r="H20" s="28" t="n">
        <v>6</v>
      </c>
      <c r="I20" s="30"/>
      <c r="J20" s="30" t="n">
        <f aca="false">60.5-6</f>
        <v>54.5</v>
      </c>
      <c r="K20" s="17"/>
    </row>
    <row r="21" customFormat="false" ht="24.75" hidden="false" customHeight="true" outlineLevel="0" collapsed="false">
      <c r="B21" s="26"/>
      <c r="C21" s="28" t="n">
        <v>6</v>
      </c>
      <c r="D21" s="28"/>
      <c r="E21" s="29"/>
      <c r="F21" s="28"/>
      <c r="G21" s="28"/>
      <c r="H21" s="28"/>
      <c r="I21" s="30"/>
      <c r="J21" s="30"/>
      <c r="K21" s="17"/>
    </row>
    <row r="22" customFormat="false" ht="24.75" hidden="false" customHeight="true" outlineLevel="0" collapsed="false">
      <c r="B22" s="26"/>
      <c r="C22" s="28" t="n">
        <v>7</v>
      </c>
      <c r="D22" s="28"/>
      <c r="E22" s="29"/>
      <c r="F22" s="28"/>
      <c r="G22" s="28"/>
      <c r="H22" s="28"/>
      <c r="I22" s="30"/>
      <c r="J22" s="30"/>
      <c r="K22" s="17"/>
    </row>
    <row r="23" customFormat="false" ht="24.75" hidden="false" customHeight="true" outlineLevel="0" collapsed="false">
      <c r="B23" s="26"/>
      <c r="C23" s="28" t="n">
        <v>8</v>
      </c>
      <c r="D23" s="28"/>
      <c r="E23" s="29"/>
      <c r="F23" s="28"/>
      <c r="G23" s="28"/>
      <c r="H23" s="28"/>
      <c r="I23" s="30"/>
      <c r="J23" s="30"/>
      <c r="K23" s="17"/>
    </row>
    <row r="24" customFormat="false" ht="24.75" hidden="false" customHeight="true" outlineLevel="0" collapsed="false">
      <c r="B24" s="26"/>
      <c r="C24" s="28" t="n">
        <v>9</v>
      </c>
      <c r="D24" s="28"/>
      <c r="E24" s="29"/>
      <c r="F24" s="28"/>
      <c r="G24" s="28"/>
      <c r="H24" s="28"/>
      <c r="I24" s="30"/>
      <c r="J24" s="30"/>
      <c r="K24" s="17"/>
    </row>
    <row r="25" customFormat="false" ht="24.75" hidden="false" customHeight="true" outlineLevel="0" collapsed="false">
      <c r="B25" s="26"/>
      <c r="C25" s="28" t="n">
        <v>10</v>
      </c>
      <c r="D25" s="28"/>
      <c r="E25" s="29"/>
      <c r="F25" s="28"/>
      <c r="G25" s="28"/>
      <c r="H25" s="28"/>
      <c r="I25" s="30"/>
      <c r="J25" s="30"/>
      <c r="K25" s="17"/>
    </row>
    <row r="26" customFormat="false" ht="10.5" hidden="false" customHeight="true" outlineLevel="0" collapsed="false">
      <c r="B26" s="31"/>
      <c r="C26" s="27"/>
      <c r="D26" s="27"/>
      <c r="E26" s="27"/>
      <c r="F26" s="27"/>
      <c r="G26" s="27"/>
      <c r="H26" s="27"/>
      <c r="I26" s="27"/>
      <c r="J26" s="27"/>
      <c r="K26" s="32"/>
    </row>
    <row r="27" customFormat="false" ht="12" hidden="false" customHeight="true" outlineLevel="0" collapsed="false">
      <c r="B27" s="33"/>
      <c r="C27" s="28"/>
      <c r="D27" s="28"/>
      <c r="E27" s="28"/>
      <c r="F27" s="28"/>
      <c r="G27" s="28"/>
      <c r="H27" s="28"/>
      <c r="I27" s="28"/>
      <c r="J27" s="28"/>
    </row>
    <row r="28" customFormat="false" ht="12" hidden="false" customHeight="true" outlineLevel="0" collapsed="false"/>
    <row r="29" customFormat="false" ht="11.25" hidden="false" customHeight="true" outlineLevel="0" collapsed="false"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</row>
    <row r="30" customFormat="false" ht="14.25" hidden="false" customHeight="false" outlineLevel="0" collapsed="false">
      <c r="B30" s="15"/>
      <c r="C30" s="37" t="s">
        <v>19</v>
      </c>
      <c r="D30" s="37"/>
      <c r="E30" s="37"/>
      <c r="F30" s="37"/>
      <c r="G30" s="37"/>
      <c r="H30" s="37"/>
      <c r="I30" s="37"/>
      <c r="K30" s="1"/>
      <c r="L30" s="1"/>
      <c r="M30" s="38"/>
    </row>
    <row r="31" customFormat="false" ht="10.5" hidden="false" customHeight="true" outlineLevel="0" collapsed="false">
      <c r="B31" s="15"/>
      <c r="K31" s="1"/>
      <c r="L31" s="28"/>
      <c r="M31" s="38"/>
    </row>
    <row r="32" customFormat="false" ht="22.5" hidden="false" customHeight="true" outlineLevel="0" collapsed="false">
      <c r="B32" s="15"/>
      <c r="C32" s="39" t="s">
        <v>20</v>
      </c>
      <c r="D32" s="39"/>
      <c r="E32" s="39"/>
      <c r="F32" s="39"/>
      <c r="G32" s="39"/>
      <c r="H32" s="39"/>
      <c r="I32" s="39"/>
      <c r="J32" s="39"/>
      <c r="K32" s="40"/>
      <c r="L32" s="41"/>
      <c r="M32" s="38"/>
    </row>
    <row r="33" customFormat="false" ht="15" hidden="false" customHeight="true" outlineLevel="0" collapsed="false">
      <c r="B33" s="15"/>
      <c r="C33" s="41"/>
      <c r="D33" s="41"/>
      <c r="E33" s="41"/>
      <c r="F33" s="41"/>
      <c r="G33" s="41"/>
      <c r="H33" s="41"/>
      <c r="I33" s="41"/>
      <c r="J33" s="41"/>
      <c r="K33" s="40"/>
      <c r="L33" s="41"/>
      <c r="M33" s="38"/>
    </row>
    <row r="34" customFormat="false" ht="22.5" hidden="false" customHeight="true" outlineLevel="0" collapsed="false">
      <c r="B34" s="15"/>
      <c r="C34" s="41" t="s">
        <v>10</v>
      </c>
      <c r="D34" s="41"/>
      <c r="E34" s="41"/>
      <c r="F34" s="41"/>
      <c r="G34" s="41"/>
      <c r="H34" s="41"/>
      <c r="I34" s="41"/>
      <c r="J34" s="41"/>
      <c r="K34" s="40"/>
      <c r="L34" s="41"/>
      <c r="M34" s="38"/>
      <c r="Q34" s="42"/>
    </row>
    <row r="35" customFormat="false" ht="18.75" hidden="false" customHeight="true" outlineLevel="0" collapsed="false">
      <c r="B35" s="15"/>
      <c r="C35" s="43" t="s">
        <v>21</v>
      </c>
      <c r="D35" s="44" t="s">
        <v>8</v>
      </c>
      <c r="E35" s="27" t="s">
        <v>22</v>
      </c>
      <c r="F35" s="44" t="s">
        <v>8</v>
      </c>
      <c r="G35" s="45" t="str">
        <f aca="false">_xlfn.CONCAT(TEXT(SLOPE(E$16:E$25,C$16:C$25),"0.00")," * ",TEXT(D13,"0")," mm")</f>
        <v>2.75 * 250 mm</v>
      </c>
      <c r="H35" s="45"/>
      <c r="I35" s="44" t="s">
        <v>8</v>
      </c>
      <c r="J35" s="46" t="str">
        <f aca="false">_xlfn.CONCAT(TEXT(SLOPE(E$16:E$25,C$16:C$25) * D$13 / $G$9, "0.000"), " um")</f>
        <v>0.643 um</v>
      </c>
      <c r="K35" s="47"/>
      <c r="L35" s="47"/>
      <c r="M35" s="38"/>
    </row>
    <row r="36" customFormat="false" ht="18.75" hidden="false" customHeight="true" outlineLevel="0" collapsed="false">
      <c r="B36" s="15"/>
      <c r="C36" s="43"/>
      <c r="D36" s="44"/>
      <c r="E36" s="28" t="s">
        <v>23</v>
      </c>
      <c r="F36" s="44"/>
      <c r="G36" s="47" t="str">
        <f aca="false">_xlfn.CONCAT(TEXT(G9, "0"), " mm")</f>
        <v>1070 mm</v>
      </c>
      <c r="H36" s="47"/>
      <c r="I36" s="44"/>
      <c r="J36" s="46"/>
      <c r="K36" s="47"/>
      <c r="L36" s="47"/>
      <c r="M36" s="38"/>
    </row>
    <row r="37" customFormat="false" ht="15" hidden="false" customHeight="true" outlineLevel="0" collapsed="false">
      <c r="B37" s="15"/>
      <c r="C37" s="48"/>
      <c r="D37" s="28"/>
      <c r="E37" s="28"/>
      <c r="F37" s="28"/>
      <c r="G37" s="28"/>
      <c r="H37" s="28"/>
      <c r="I37" s="28"/>
      <c r="J37" s="49"/>
      <c r="K37" s="28"/>
      <c r="L37" s="28"/>
      <c r="M37" s="38"/>
    </row>
    <row r="38" customFormat="false" ht="22.5" hidden="false" customHeight="true" outlineLevel="0" collapsed="false">
      <c r="B38" s="15"/>
      <c r="C38" s="40" t="s">
        <v>11</v>
      </c>
      <c r="D38" s="40"/>
      <c r="E38" s="40"/>
      <c r="F38" s="40"/>
      <c r="G38" s="40"/>
      <c r="H38" s="40"/>
      <c r="I38" s="40"/>
      <c r="J38" s="40"/>
      <c r="K38" s="40"/>
      <c r="L38" s="41"/>
      <c r="M38" s="38"/>
    </row>
    <row r="39" customFormat="false" ht="18.75" hidden="false" customHeight="true" outlineLevel="0" collapsed="false">
      <c r="B39" s="15"/>
      <c r="C39" s="43" t="s">
        <v>21</v>
      </c>
      <c r="D39" s="44" t="s">
        <v>8</v>
      </c>
      <c r="E39" s="27" t="s">
        <v>24</v>
      </c>
      <c r="F39" s="44" t="s">
        <v>8</v>
      </c>
      <c r="G39" s="45" t="str">
        <f aca="false">_xlfn.CONCAT(TEXT(8.98,"0.00")," * ",TEXT(I$13,"0")," mm")</f>
        <v>8.98 * 80 mm</v>
      </c>
      <c r="H39" s="45"/>
      <c r="I39" s="44" t="s">
        <v>8</v>
      </c>
      <c r="J39" s="46" t="str">
        <f aca="false">_xlfn.CONCAT(TEXT(8.98 * I$13 / $G$9, "0.000"), " um")</f>
        <v>0.671 um</v>
      </c>
      <c r="K39" s="47"/>
      <c r="L39" s="47"/>
      <c r="M39" s="38"/>
    </row>
    <row r="40" customFormat="false" ht="18.75" hidden="false" customHeight="true" outlineLevel="0" collapsed="false">
      <c r="B40" s="15"/>
      <c r="C40" s="43"/>
      <c r="D40" s="44"/>
      <c r="E40" s="28" t="s">
        <v>23</v>
      </c>
      <c r="F40" s="44"/>
      <c r="G40" s="47" t="s">
        <v>25</v>
      </c>
      <c r="H40" s="47"/>
      <c r="I40" s="44"/>
      <c r="J40" s="46"/>
      <c r="K40" s="47"/>
      <c r="L40" s="47"/>
      <c r="M40" s="38"/>
    </row>
    <row r="41" customFormat="false" ht="11.25" hidden="false" customHeight="true" outlineLevel="0" collapsed="false">
      <c r="B41" s="50"/>
      <c r="C41" s="8"/>
      <c r="D41" s="8"/>
      <c r="E41" s="8"/>
      <c r="F41" s="8"/>
      <c r="G41" s="8"/>
      <c r="H41" s="8"/>
      <c r="I41" s="8"/>
      <c r="J41" s="8"/>
      <c r="K41" s="8"/>
      <c r="L41" s="8"/>
      <c r="M41" s="51"/>
    </row>
  </sheetData>
  <mergeCells count="31">
    <mergeCell ref="C2:D2"/>
    <mergeCell ref="E2:N2"/>
    <mergeCell ref="C3:D3"/>
    <mergeCell ref="E3:N3"/>
    <mergeCell ref="C4:D4"/>
    <mergeCell ref="J4:K4"/>
    <mergeCell ref="L4:N4"/>
    <mergeCell ref="B5:E5"/>
    <mergeCell ref="C7:J7"/>
    <mergeCell ref="C11:E11"/>
    <mergeCell ref="H11:J11"/>
    <mergeCell ref="D13:E13"/>
    <mergeCell ref="I13:J13"/>
    <mergeCell ref="C30:I30"/>
    <mergeCell ref="C32:J32"/>
    <mergeCell ref="C35:C36"/>
    <mergeCell ref="D35:D36"/>
    <mergeCell ref="F35:F36"/>
    <mergeCell ref="G35:H35"/>
    <mergeCell ref="I35:I36"/>
    <mergeCell ref="J35:J36"/>
    <mergeCell ref="K35:L36"/>
    <mergeCell ref="G36:H36"/>
    <mergeCell ref="C39:C40"/>
    <mergeCell ref="D39:D40"/>
    <mergeCell ref="F39:F40"/>
    <mergeCell ref="G39:H39"/>
    <mergeCell ref="I39:I40"/>
    <mergeCell ref="J39:J40"/>
    <mergeCell ref="K39:L40"/>
    <mergeCell ref="G40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41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K14" activeCellId="0" sqref="K14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0" width="2.82"/>
    <col collapsed="false" customWidth="true" hidden="false" outlineLevel="0" max="2" min="2" style="0" width="2"/>
    <col collapsed="false" customWidth="true" hidden="false" outlineLevel="0" max="3" min="3" style="1" width="10"/>
    <col collapsed="false" customWidth="true" hidden="false" outlineLevel="0" max="4" min="4" style="1" width="2.82"/>
    <col collapsed="false" customWidth="true" hidden="false" outlineLevel="0" max="5" min="5" style="1" width="10"/>
    <col collapsed="false" customWidth="true" hidden="false" outlineLevel="0" max="6" min="6" style="1" width="3.05"/>
    <col collapsed="false" customWidth="true" hidden="false" outlineLevel="0" max="7" min="7" style="1" width="7.93"/>
    <col collapsed="false" customWidth="true" hidden="false" outlineLevel="0" max="8" min="8" style="1" width="10"/>
    <col collapsed="false" customWidth="true" hidden="false" outlineLevel="0" max="9" min="9" style="1" width="2.82"/>
    <col collapsed="false" customWidth="true" hidden="false" outlineLevel="0" max="10" min="10" style="1" width="10"/>
    <col collapsed="false" customWidth="true" hidden="false" outlineLevel="0" max="11" min="11" style="0" width="3.75"/>
    <col collapsed="false" customWidth="true" hidden="false" outlineLevel="0" max="12" min="12" style="0" width="5.27"/>
    <col collapsed="false" customWidth="true" hidden="false" outlineLevel="0" max="13" min="13" style="0" width="2"/>
    <col collapsed="false" customWidth="true" hidden="false" outlineLevel="0" max="14" min="14" style="0" width="8.18"/>
    <col collapsed="false" customWidth="true" hidden="false" outlineLevel="0" max="15" min="15" style="0" width="8.54"/>
    <col collapsed="false" customWidth="true" hidden="false" outlineLevel="0" max="211" min="16" style="0" width="8.68"/>
    <col collapsed="false" customWidth="true" hidden="false" outlineLevel="0" max="212" min="212" style="0" width="2.82"/>
    <col collapsed="false" customWidth="true" hidden="false" outlineLevel="0" max="213" min="213" style="0" width="2"/>
    <col collapsed="false" customWidth="true" hidden="false" outlineLevel="0" max="214" min="214" style="0" width="8.68"/>
    <col collapsed="false" customWidth="true" hidden="false" outlineLevel="0" max="215" min="215" style="0" width="2"/>
    <col collapsed="false" customWidth="true" hidden="false" outlineLevel="0" max="216" min="216" style="0" width="8.68"/>
    <col collapsed="false" customWidth="true" hidden="false" outlineLevel="0" max="217" min="217" style="0" width="2"/>
    <col collapsed="false" customWidth="true" hidden="false" outlineLevel="0" max="218" min="218" style="0" width="8.68"/>
    <col collapsed="false" customWidth="true" hidden="false" outlineLevel="0" max="219" min="219" style="0" width="2"/>
    <col collapsed="false" customWidth="true" hidden="false" outlineLevel="0" max="220" min="220" style="0" width="8.68"/>
    <col collapsed="false" customWidth="true" hidden="false" outlineLevel="0" max="221" min="221" style="0" width="2"/>
    <col collapsed="false" customWidth="true" hidden="false" outlineLevel="0" max="222" min="222" style="0" width="2.82"/>
    <col collapsed="false" customWidth="true" hidden="false" outlineLevel="0" max="223" min="223" style="0" width="2.45"/>
    <col collapsed="false" customWidth="true" hidden="false" outlineLevel="0" max="224" min="224" style="0" width="8.68"/>
    <col collapsed="false" customWidth="true" hidden="false" outlineLevel="0" max="225" min="225" style="0" width="2.45"/>
    <col collapsed="false" customWidth="true" hidden="false" outlineLevel="0" max="226" min="226" style="0" width="8.68"/>
    <col collapsed="false" customWidth="true" hidden="false" outlineLevel="0" max="227" min="227" style="0" width="2.45"/>
    <col collapsed="false" customWidth="true" hidden="false" outlineLevel="0" max="228" min="228" style="0" width="11.73"/>
    <col collapsed="false" customWidth="true" hidden="false" outlineLevel="0" max="229" min="229" style="0" width="2.45"/>
    <col collapsed="false" customWidth="true" hidden="false" outlineLevel="0" max="230" min="230" style="0" width="8.68"/>
    <col collapsed="false" customWidth="true" hidden="false" outlineLevel="0" max="231" min="231" style="0" width="4.73"/>
    <col collapsed="false" customWidth="true" hidden="false" outlineLevel="0" max="232" min="232" style="0" width="2.45"/>
    <col collapsed="false" customWidth="true" hidden="false" outlineLevel="0" max="233" min="233" style="0" width="4"/>
    <col collapsed="false" customWidth="true" hidden="false" outlineLevel="0" max="234" min="234" style="0" width="2.45"/>
    <col collapsed="false" customWidth="true" hidden="false" outlineLevel="0" max="235" min="235" style="0" width="8.68"/>
    <col collapsed="false" customWidth="true" hidden="false" outlineLevel="0" max="236" min="236" style="0" width="2.45"/>
    <col collapsed="false" customWidth="true" hidden="false" outlineLevel="0" max="237" min="237" style="0" width="8.68"/>
    <col collapsed="false" customWidth="true" hidden="false" outlineLevel="0" max="238" min="238" style="0" width="2.45"/>
    <col collapsed="false" customWidth="true" hidden="false" outlineLevel="0" max="239" min="239" style="0" width="11.73"/>
    <col collapsed="false" customWidth="true" hidden="false" outlineLevel="0" max="240" min="240" style="0" width="2.45"/>
    <col collapsed="false" customWidth="true" hidden="false" outlineLevel="0" max="241" min="241" style="0" width="8.68"/>
    <col collapsed="false" customWidth="true" hidden="false" outlineLevel="0" max="242" min="242" style="0" width="4.73"/>
    <col collapsed="false" customWidth="true" hidden="false" outlineLevel="0" max="243" min="243" style="0" width="2.45"/>
    <col collapsed="false" customWidth="true" hidden="false" outlineLevel="0" max="268" min="244" style="0" width="8.68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19</v>
      </c>
      <c r="H4" s="8" t="n">
        <v>2025</v>
      </c>
      <c r="I4" s="8"/>
      <c r="J4" s="9" t="s">
        <v>5</v>
      </c>
      <c r="K4" s="9"/>
      <c r="L4" s="10" t="n">
        <v>4</v>
      </c>
      <c r="M4" s="10"/>
      <c r="N4" s="10"/>
    </row>
    <row r="5" customFormat="false" ht="14.2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4"/>
    </row>
    <row r="7" customFormat="false" ht="21" hidden="false" customHeight="true" outlineLevel="0" collapsed="false">
      <c r="B7" s="15"/>
      <c r="C7" s="16" t="s">
        <v>6</v>
      </c>
      <c r="D7" s="16"/>
      <c r="E7" s="16"/>
      <c r="F7" s="16"/>
      <c r="G7" s="16"/>
      <c r="H7" s="16"/>
      <c r="I7" s="16"/>
      <c r="J7" s="16"/>
      <c r="K7" s="17"/>
    </row>
    <row r="8" customFormat="false" ht="9" hidden="false" customHeight="true" outlineLevel="0" collapsed="false">
      <c r="B8" s="15"/>
      <c r="C8" s="18"/>
      <c r="D8" s="18"/>
      <c r="E8" s="18"/>
      <c r="F8" s="18"/>
      <c r="G8" s="18"/>
      <c r="H8" s="18"/>
      <c r="I8" s="18"/>
      <c r="J8" s="18"/>
      <c r="K8" s="17"/>
    </row>
    <row r="9" customFormat="false" ht="24.75" hidden="false" customHeight="true" outlineLevel="0" collapsed="false">
      <c r="B9" s="15"/>
      <c r="C9" s="18"/>
      <c r="D9" s="18"/>
      <c r="E9" s="19" t="s">
        <v>7</v>
      </c>
      <c r="F9" s="18" t="s">
        <v>8</v>
      </c>
      <c r="G9" s="20" t="n">
        <f aca="false">107*10</f>
        <v>1070</v>
      </c>
      <c r="H9" s="18" t="s">
        <v>9</v>
      </c>
      <c r="I9" s="18"/>
      <c r="J9" s="18"/>
      <c r="K9" s="17"/>
    </row>
    <row r="10" customFormat="false" ht="9" hidden="false" customHeight="true" outlineLevel="0" collapsed="false">
      <c r="B10" s="15"/>
      <c r="C10" s="18"/>
      <c r="D10" s="18"/>
      <c r="E10" s="18"/>
      <c r="F10" s="18"/>
      <c r="G10" s="18"/>
      <c r="H10" s="18"/>
      <c r="I10" s="18"/>
      <c r="J10" s="18"/>
      <c r="K10" s="17"/>
    </row>
    <row r="11" customFormat="false" ht="16.5" hidden="false" customHeight="true" outlineLevel="0" collapsed="false">
      <c r="B11" s="15"/>
      <c r="C11" s="21" t="s">
        <v>10</v>
      </c>
      <c r="D11" s="21"/>
      <c r="E11" s="21"/>
      <c r="H11" s="21" t="s">
        <v>11</v>
      </c>
      <c r="I11" s="21"/>
      <c r="J11" s="21"/>
      <c r="K11" s="17"/>
    </row>
    <row r="12" customFormat="false" ht="12.75" hidden="false" customHeight="true" outlineLevel="0" collapsed="false">
      <c r="B12" s="15"/>
      <c r="C12" s="22"/>
      <c r="D12" s="22"/>
      <c r="E12" s="22"/>
      <c r="H12" s="22"/>
      <c r="I12" s="22"/>
      <c r="J12" s="22"/>
      <c r="K12" s="17"/>
    </row>
    <row r="13" customFormat="false" ht="21" hidden="false" customHeight="true" outlineLevel="0" collapsed="false">
      <c r="B13" s="15"/>
      <c r="C13" s="23" t="s">
        <v>12</v>
      </c>
      <c r="D13" s="24" t="n">
        <f aca="false">0.5*1000</f>
        <v>500</v>
      </c>
      <c r="E13" s="24"/>
      <c r="F13" s="1" t="s">
        <v>13</v>
      </c>
      <c r="H13" s="23" t="s">
        <v>14</v>
      </c>
      <c r="I13" s="24" t="n">
        <f aca="false">0.08*1000</f>
        <v>80</v>
      </c>
      <c r="J13" s="24"/>
      <c r="K13" s="17" t="s">
        <v>13</v>
      </c>
    </row>
    <row r="14" customFormat="false" ht="12.75" hidden="false" customHeight="true" outlineLevel="0" collapsed="false">
      <c r="B14" s="15"/>
      <c r="C14" s="22"/>
      <c r="D14" s="22"/>
      <c r="E14" s="25" t="s">
        <v>15</v>
      </c>
      <c r="H14" s="22"/>
      <c r="I14" s="22"/>
      <c r="J14" s="25" t="s">
        <v>16</v>
      </c>
      <c r="K14" s="17"/>
    </row>
    <row r="15" customFormat="false" ht="24.75" hidden="false" customHeight="true" outlineLevel="0" collapsed="false">
      <c r="B15" s="26"/>
      <c r="C15" s="27" t="s">
        <v>17</v>
      </c>
      <c r="D15" s="28"/>
      <c r="E15" s="27" t="s">
        <v>18</v>
      </c>
      <c r="F15" s="28"/>
      <c r="G15" s="28"/>
      <c r="H15" s="27" t="s">
        <v>17</v>
      </c>
      <c r="I15" s="28"/>
      <c r="J15" s="27" t="s">
        <v>18</v>
      </c>
      <c r="K15" s="17"/>
    </row>
    <row r="16" customFormat="false" ht="24.75" hidden="false" customHeight="true" outlineLevel="0" collapsed="false">
      <c r="B16" s="26"/>
      <c r="C16" s="28" t="n">
        <v>1</v>
      </c>
      <c r="D16" s="28"/>
      <c r="E16" s="29" t="n">
        <v>17.5</v>
      </c>
      <c r="F16" s="28"/>
      <c r="G16" s="28"/>
      <c r="H16" s="28" t="n">
        <v>1</v>
      </c>
      <c r="I16" s="30"/>
      <c r="J16" s="30" t="n">
        <f aca="false">6.5</f>
        <v>6.5</v>
      </c>
      <c r="K16" s="17"/>
    </row>
    <row r="17" customFormat="false" ht="24.75" hidden="false" customHeight="true" outlineLevel="0" collapsed="false">
      <c r="B17" s="26"/>
      <c r="C17" s="28" t="n">
        <v>2</v>
      </c>
      <c r="D17" s="28"/>
      <c r="E17" s="29" t="n">
        <v>19</v>
      </c>
      <c r="F17" s="28"/>
      <c r="G17" s="28"/>
      <c r="H17" s="28" t="n">
        <v>2</v>
      </c>
      <c r="I17" s="30"/>
      <c r="J17" s="30" t="n">
        <f aca="false">16</f>
        <v>16</v>
      </c>
      <c r="K17" s="17"/>
    </row>
    <row r="18" customFormat="false" ht="24.75" hidden="false" customHeight="true" outlineLevel="0" collapsed="false">
      <c r="B18" s="26"/>
      <c r="C18" s="28" t="n">
        <v>3</v>
      </c>
      <c r="D18" s="28"/>
      <c r="E18" s="29" t="n">
        <v>20.5</v>
      </c>
      <c r="F18" s="28"/>
      <c r="G18" s="28"/>
      <c r="H18" s="28" t="n">
        <v>4</v>
      </c>
      <c r="I18" s="30"/>
      <c r="J18" s="30" t="n">
        <f aca="false">33.5</f>
        <v>33.5</v>
      </c>
      <c r="K18" s="17"/>
    </row>
    <row r="19" customFormat="false" ht="24.75" hidden="false" customHeight="true" outlineLevel="0" collapsed="false">
      <c r="B19" s="26"/>
      <c r="C19" s="28" t="n">
        <v>4</v>
      </c>
      <c r="D19" s="28"/>
      <c r="E19" s="29" t="n">
        <v>22</v>
      </c>
      <c r="F19" s="28"/>
      <c r="G19" s="28"/>
      <c r="H19" s="28" t="n">
        <v>5</v>
      </c>
      <c r="I19" s="30"/>
      <c r="J19" s="30" t="n">
        <f aca="false">42</f>
        <v>42</v>
      </c>
      <c r="K19" s="17"/>
    </row>
    <row r="20" customFormat="false" ht="24.75" hidden="false" customHeight="true" outlineLevel="0" collapsed="false">
      <c r="B20" s="26"/>
      <c r="C20" s="28" t="n">
        <v>5</v>
      </c>
      <c r="D20" s="28"/>
      <c r="E20" s="29" t="n">
        <v>23.5</v>
      </c>
      <c r="F20" s="28"/>
      <c r="G20" s="28"/>
      <c r="H20" s="28" t="n">
        <v>6</v>
      </c>
      <c r="I20" s="30"/>
      <c r="J20" s="30" t="n">
        <f aca="false">51</f>
        <v>51</v>
      </c>
      <c r="K20" s="17"/>
    </row>
    <row r="21" customFormat="false" ht="24.75" hidden="false" customHeight="true" outlineLevel="0" collapsed="false">
      <c r="B21" s="26"/>
      <c r="C21" s="28" t="n">
        <v>6</v>
      </c>
      <c r="D21" s="28"/>
      <c r="E21" s="29" t="n">
        <v>24.5</v>
      </c>
      <c r="F21" s="28"/>
      <c r="G21" s="28"/>
      <c r="H21" s="28"/>
      <c r="I21" s="30"/>
      <c r="J21" s="30"/>
      <c r="K21" s="17"/>
    </row>
    <row r="22" customFormat="false" ht="24.75" hidden="false" customHeight="true" outlineLevel="0" collapsed="false">
      <c r="B22" s="26"/>
      <c r="C22" s="28" t="n">
        <v>7</v>
      </c>
      <c r="D22" s="28"/>
      <c r="E22" s="29" t="n">
        <v>26</v>
      </c>
      <c r="F22" s="28"/>
      <c r="G22" s="28"/>
      <c r="H22" s="28"/>
      <c r="I22" s="30"/>
      <c r="J22" s="30"/>
      <c r="K22" s="17"/>
    </row>
    <row r="23" customFormat="false" ht="24.75" hidden="false" customHeight="true" outlineLevel="0" collapsed="false">
      <c r="B23" s="26"/>
      <c r="C23" s="28" t="n">
        <v>8</v>
      </c>
      <c r="D23" s="28"/>
      <c r="E23" s="29" t="n">
        <v>27.5</v>
      </c>
      <c r="F23" s="28"/>
      <c r="G23" s="28"/>
      <c r="H23" s="28"/>
      <c r="I23" s="30"/>
      <c r="J23" s="30"/>
      <c r="K23" s="17"/>
    </row>
    <row r="24" customFormat="false" ht="24.75" hidden="false" customHeight="true" outlineLevel="0" collapsed="false">
      <c r="B24" s="26"/>
      <c r="C24" s="28" t="n">
        <v>9</v>
      </c>
      <c r="D24" s="28"/>
      <c r="E24" s="29" t="n">
        <v>29</v>
      </c>
      <c r="F24" s="28"/>
      <c r="G24" s="28"/>
      <c r="H24" s="28"/>
      <c r="I24" s="30"/>
      <c r="J24" s="30"/>
      <c r="K24" s="17"/>
    </row>
    <row r="25" customFormat="false" ht="24.75" hidden="false" customHeight="true" outlineLevel="0" collapsed="false">
      <c r="B25" s="26"/>
      <c r="C25" s="28" t="n">
        <v>10</v>
      </c>
      <c r="D25" s="28"/>
      <c r="E25" s="29" t="n">
        <v>30.5</v>
      </c>
      <c r="F25" s="28"/>
      <c r="G25" s="28"/>
      <c r="H25" s="28"/>
      <c r="I25" s="30"/>
      <c r="J25" s="30"/>
      <c r="K25" s="17"/>
    </row>
    <row r="26" customFormat="false" ht="10.5" hidden="false" customHeight="true" outlineLevel="0" collapsed="false">
      <c r="B26" s="31"/>
      <c r="C26" s="27"/>
      <c r="D26" s="27"/>
      <c r="E26" s="27"/>
      <c r="F26" s="27"/>
      <c r="G26" s="27"/>
      <c r="H26" s="27"/>
      <c r="I26" s="27"/>
      <c r="J26" s="27"/>
      <c r="K26" s="32"/>
    </row>
    <row r="27" customFormat="false" ht="12" hidden="false" customHeight="true" outlineLevel="0" collapsed="false">
      <c r="B27" s="33"/>
      <c r="C27" s="28"/>
      <c r="D27" s="28"/>
      <c r="E27" s="28"/>
      <c r="F27" s="28"/>
      <c r="G27" s="28"/>
      <c r="H27" s="28"/>
      <c r="I27" s="28"/>
      <c r="J27" s="28"/>
    </row>
    <row r="28" customFormat="false" ht="12" hidden="false" customHeight="true" outlineLevel="0" collapsed="false"/>
    <row r="29" customFormat="false" ht="11.25" hidden="false" customHeight="true" outlineLevel="0" collapsed="false"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6"/>
    </row>
    <row r="30" customFormat="false" ht="14.25" hidden="false" customHeight="false" outlineLevel="0" collapsed="false">
      <c r="B30" s="15"/>
      <c r="C30" s="37" t="s">
        <v>19</v>
      </c>
      <c r="D30" s="37"/>
      <c r="E30" s="37"/>
      <c r="F30" s="37"/>
      <c r="G30" s="37"/>
      <c r="H30" s="37"/>
      <c r="I30" s="37"/>
      <c r="K30" s="1"/>
      <c r="L30" s="1"/>
      <c r="M30" s="38"/>
    </row>
    <row r="31" customFormat="false" ht="10.5" hidden="false" customHeight="true" outlineLevel="0" collapsed="false">
      <c r="B31" s="15"/>
      <c r="K31" s="1"/>
      <c r="L31" s="28"/>
      <c r="M31" s="38"/>
    </row>
    <row r="32" customFormat="false" ht="22.5" hidden="false" customHeight="true" outlineLevel="0" collapsed="false">
      <c r="B32" s="15"/>
      <c r="C32" s="39" t="s">
        <v>20</v>
      </c>
      <c r="D32" s="39"/>
      <c r="E32" s="39"/>
      <c r="F32" s="39"/>
      <c r="G32" s="39"/>
      <c r="H32" s="39"/>
      <c r="I32" s="39"/>
      <c r="J32" s="39"/>
      <c r="K32" s="40"/>
      <c r="L32" s="41"/>
      <c r="M32" s="38"/>
    </row>
    <row r="33" customFormat="false" ht="15" hidden="false" customHeight="true" outlineLevel="0" collapsed="false">
      <c r="B33" s="15"/>
      <c r="C33" s="41"/>
      <c r="D33" s="41"/>
      <c r="E33" s="41"/>
      <c r="F33" s="41"/>
      <c r="G33" s="41"/>
      <c r="H33" s="41"/>
      <c r="I33" s="41"/>
      <c r="J33" s="41"/>
      <c r="K33" s="40"/>
      <c r="L33" s="41"/>
      <c r="M33" s="38"/>
    </row>
    <row r="34" customFormat="false" ht="22.5" hidden="false" customHeight="true" outlineLevel="0" collapsed="false">
      <c r="B34" s="15"/>
      <c r="C34" s="41" t="s">
        <v>10</v>
      </c>
      <c r="D34" s="41"/>
      <c r="E34" s="41"/>
      <c r="F34" s="41"/>
      <c r="G34" s="41"/>
      <c r="H34" s="41"/>
      <c r="I34" s="41"/>
      <c r="J34" s="41"/>
      <c r="K34" s="40"/>
      <c r="L34" s="41"/>
      <c r="M34" s="38"/>
      <c r="Q34" s="42"/>
    </row>
    <row r="35" customFormat="false" ht="18.75" hidden="false" customHeight="true" outlineLevel="0" collapsed="false">
      <c r="B35" s="15"/>
      <c r="C35" s="43" t="s">
        <v>21</v>
      </c>
      <c r="D35" s="44" t="s">
        <v>8</v>
      </c>
      <c r="E35" s="27" t="s">
        <v>22</v>
      </c>
      <c r="F35" s="44" t="s">
        <v>8</v>
      </c>
      <c r="G35" s="45" t="str">
        <f aca="false">_xlfn.CONCAT(TEXT(SLOPE(E$16:E$25,C$16:C$25),"0.00")," * ",TEXT(D13,"0")," mm")</f>
        <v>1.42 * 500 mm</v>
      </c>
      <c r="H35" s="45"/>
      <c r="I35" s="44" t="s">
        <v>8</v>
      </c>
      <c r="J35" s="46" t="str">
        <f aca="false">_xlfn.CONCAT(TEXT(SLOPE(E$16:E$25,C$16:C$25) * D$13 / $G$9, "0.000"), " um")</f>
        <v>0.666 um</v>
      </c>
      <c r="K35" s="47"/>
      <c r="L35" s="47"/>
      <c r="M35" s="38"/>
    </row>
    <row r="36" customFormat="false" ht="18.75" hidden="false" customHeight="true" outlineLevel="0" collapsed="false">
      <c r="B36" s="15"/>
      <c r="C36" s="43"/>
      <c r="D36" s="44"/>
      <c r="E36" s="28" t="s">
        <v>23</v>
      </c>
      <c r="F36" s="44"/>
      <c r="G36" s="47" t="str">
        <f aca="false">_xlfn.CONCAT(TEXT(G9, "0"), " mm")</f>
        <v>1070 mm</v>
      </c>
      <c r="H36" s="47"/>
      <c r="I36" s="44"/>
      <c r="J36" s="46"/>
      <c r="K36" s="47"/>
      <c r="L36" s="47"/>
      <c r="M36" s="38"/>
    </row>
    <row r="37" customFormat="false" ht="15" hidden="false" customHeight="true" outlineLevel="0" collapsed="false">
      <c r="B37" s="15"/>
      <c r="C37" s="48"/>
      <c r="D37" s="28"/>
      <c r="E37" s="28"/>
      <c r="F37" s="28"/>
      <c r="G37" s="28"/>
      <c r="H37" s="28"/>
      <c r="I37" s="28"/>
      <c r="J37" s="49"/>
      <c r="K37" s="28"/>
      <c r="L37" s="28"/>
      <c r="M37" s="38"/>
    </row>
    <row r="38" customFormat="false" ht="22.5" hidden="false" customHeight="true" outlineLevel="0" collapsed="false">
      <c r="B38" s="15"/>
      <c r="C38" s="40" t="s">
        <v>11</v>
      </c>
      <c r="D38" s="40"/>
      <c r="E38" s="40"/>
      <c r="F38" s="40"/>
      <c r="G38" s="40"/>
      <c r="H38" s="40"/>
      <c r="I38" s="40"/>
      <c r="J38" s="40"/>
      <c r="K38" s="40"/>
      <c r="L38" s="41"/>
      <c r="M38" s="38"/>
    </row>
    <row r="39" customFormat="false" ht="18.75" hidden="false" customHeight="true" outlineLevel="0" collapsed="false">
      <c r="B39" s="15"/>
      <c r="C39" s="43" t="s">
        <v>21</v>
      </c>
      <c r="D39" s="44" t="s">
        <v>8</v>
      </c>
      <c r="E39" s="27" t="s">
        <v>24</v>
      </c>
      <c r="F39" s="44" t="s">
        <v>8</v>
      </c>
      <c r="G39" s="45" t="str">
        <f aca="false">_xlfn.CONCAT(TEXT(8.84,"0.00")," * ",TEXT(I$13,"0")," mm")</f>
        <v>8.84 * 80 mm</v>
      </c>
      <c r="H39" s="45"/>
      <c r="I39" s="44" t="s">
        <v>8</v>
      </c>
      <c r="J39" s="46" t="str">
        <f aca="false">_xlfn.CONCAT(TEXT(8.84 * I$13 / $G$9, "0.000"), " um")</f>
        <v>0.661 um</v>
      </c>
      <c r="K39" s="47"/>
      <c r="L39" s="47"/>
      <c r="M39" s="38"/>
    </row>
    <row r="40" customFormat="false" ht="18.75" hidden="false" customHeight="true" outlineLevel="0" collapsed="false">
      <c r="B40" s="15"/>
      <c r="C40" s="43"/>
      <c r="D40" s="44"/>
      <c r="E40" s="28" t="s">
        <v>23</v>
      </c>
      <c r="F40" s="44"/>
      <c r="G40" s="47" t="s">
        <v>25</v>
      </c>
      <c r="H40" s="47"/>
      <c r="I40" s="44"/>
      <c r="J40" s="46"/>
      <c r="K40" s="47"/>
      <c r="L40" s="47"/>
      <c r="M40" s="38"/>
    </row>
    <row r="41" customFormat="false" ht="11.25" hidden="false" customHeight="true" outlineLevel="0" collapsed="false">
      <c r="B41" s="50"/>
      <c r="C41" s="8"/>
      <c r="D41" s="8"/>
      <c r="E41" s="8"/>
      <c r="F41" s="8"/>
      <c r="G41" s="8"/>
      <c r="H41" s="8"/>
      <c r="I41" s="8"/>
      <c r="J41" s="8"/>
      <c r="K41" s="8"/>
      <c r="L41" s="8"/>
      <c r="M41" s="51"/>
    </row>
  </sheetData>
  <mergeCells count="31">
    <mergeCell ref="C2:D2"/>
    <mergeCell ref="E2:N2"/>
    <mergeCell ref="C3:D3"/>
    <mergeCell ref="E3:N3"/>
    <mergeCell ref="C4:D4"/>
    <mergeCell ref="J4:K4"/>
    <mergeCell ref="L4:N4"/>
    <mergeCell ref="B5:E5"/>
    <mergeCell ref="C7:J7"/>
    <mergeCell ref="C11:E11"/>
    <mergeCell ref="H11:J11"/>
    <mergeCell ref="D13:E13"/>
    <mergeCell ref="I13:J13"/>
    <mergeCell ref="C30:I30"/>
    <mergeCell ref="C32:J32"/>
    <mergeCell ref="C35:C36"/>
    <mergeCell ref="D35:D36"/>
    <mergeCell ref="F35:F36"/>
    <mergeCell ref="G35:H35"/>
    <mergeCell ref="I35:I36"/>
    <mergeCell ref="J35:J36"/>
    <mergeCell ref="K35:L36"/>
    <mergeCell ref="G36:H36"/>
    <mergeCell ref="C39:C40"/>
    <mergeCell ref="D39:D40"/>
    <mergeCell ref="F39:F40"/>
    <mergeCell ref="G39:H39"/>
    <mergeCell ref="I39:I40"/>
    <mergeCell ref="J39:J40"/>
    <mergeCell ref="K39:L40"/>
    <mergeCell ref="G40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2017-05-10T23:34:32Z</dcterms:created>
  <dc:creator>rccd</dc:creator>
  <dc:description/>
  <dc:language>en-US</dc:language>
  <cp:lastModifiedBy/>
  <dcterms:modified xsi:type="dcterms:W3CDTF">2025-11-19T17:14:12Z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