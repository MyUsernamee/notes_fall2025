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a Graph Calculation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<sst xmlns="http://schemas.openxmlformats.org/spreadsheetml/2006/main" count="53" uniqueCount="35">
  <si>
    <t xml:space="preserve">Name:  </t>
  </si>
  <si>
    <t xml:space="preserve">Delano Leslie</t>
  </si>
  <si>
    <t xml:space="preserve">Lab Partner(s):  </t>
  </si>
  <si>
    <t xml:space="preserve">Jafette, Sierra</t>
  </si>
  <si>
    <t xml:space="preserve">Date:  </t>
  </si>
  <si>
    <t xml:space="preserve">10/15/2025</t>
  </si>
  <si>
    <t xml:space="preserve">Table #:</t>
  </si>
  <si>
    <t xml:space="preserve">4</t>
  </si>
  <si>
    <t xml:space="preserve">Calculations</t>
  </si>
  <si>
    <t xml:space="preserve">Calculate the latent heat of fusion for water</t>
  </si>
  <si>
    <t xml:space="preserve">L</t>
  </si>
  <si>
    <t xml:space="preserve">=</t>
  </si>
  <si>
    <r>
      <rPr>
        <sz val="11"/>
        <color theme="1"/>
        <rFont val="Calibri"/>
        <family val="2"/>
        <charset val="1"/>
      </rPr>
      <t xml:space="preserve">c</t>
    </r>
    <r>
      <rPr>
        <vertAlign val="subscript"/>
        <sz val="11"/>
        <color theme="1"/>
        <rFont val="Calibri"/>
        <family val="2"/>
        <charset val="1"/>
      </rPr>
      <t xml:space="preserve">w</t>
    </r>
  </si>
  <si>
    <t xml:space="preserve">α</t>
  </si>
  <si>
    <r>
      <rPr>
        <sz val="7"/>
        <color theme="1"/>
        <rFont val="DejaVu Sans"/>
        <family val="2"/>
        <charset val="1"/>
      </rPr>
      <t xml:space="preserve">(g </t>
    </r>
    <r>
      <rPr>
        <i val="true"/>
        <sz val="7"/>
        <color theme="1"/>
        <rFont val="DejaVu Sans"/>
        <family val="2"/>
        <charset val="1"/>
      </rPr>
      <t xml:space="preserve">x </t>
    </r>
    <r>
      <rPr>
        <sz val="7"/>
        <color theme="1"/>
        <rFont val="DejaVu Sans"/>
        <family val="2"/>
        <charset val="1"/>
      </rPr>
      <t xml:space="preserve">10</t>
    </r>
    <r>
      <rPr>
        <vertAlign val="superscript"/>
        <sz val="7"/>
        <color theme="1"/>
        <rFont val="DejaVu Sans"/>
        <family val="2"/>
        <charset val="1"/>
      </rPr>
      <t xml:space="preserve">3 </t>
    </r>
    <r>
      <rPr>
        <sz val="7"/>
        <color theme="1"/>
        <rFont val="DejaVu Sans"/>
        <family val="2"/>
        <charset val="1"/>
      </rPr>
      <t xml:space="preserve">*</t>
    </r>
    <r>
      <rPr>
        <vertAlign val="subscript"/>
        <sz val="7"/>
        <color theme="1"/>
        <rFont val="DejaVu Sans"/>
        <family val="2"/>
        <charset val="1"/>
      </rPr>
      <t xml:space="preserve"> </t>
    </r>
    <r>
      <rPr>
        <sz val="7"/>
        <color theme="1"/>
        <rFont val="DejaVu Sans"/>
        <family val="2"/>
        <charset val="1"/>
      </rPr>
      <t xml:space="preserve">C°)</t>
    </r>
  </si>
  <si>
    <r>
      <rPr>
        <sz val="11"/>
        <color theme="1"/>
        <rFont val="Calibri"/>
        <family val="2"/>
        <charset val="1"/>
      </rPr>
      <t xml:space="preserve">- T</t>
    </r>
    <r>
      <rPr>
        <vertAlign val="subscript"/>
        <sz val="11"/>
        <color theme="1"/>
        <rFont val="Calibri"/>
        <family val="2"/>
        <charset val="1"/>
      </rPr>
      <t xml:space="preserve">w</t>
    </r>
  </si>
  <si>
    <r>
      <rPr>
        <sz val="11"/>
        <color theme="1"/>
        <rFont val="Calibri"/>
        <family val="2"/>
        <charset val="1"/>
      </rPr>
      <t xml:space="preserve">+c</t>
    </r>
    <r>
      <rPr>
        <vertAlign val="subscript"/>
        <sz val="11"/>
        <color theme="1"/>
        <rFont val="Calibri"/>
        <family val="2"/>
        <charset val="1"/>
      </rPr>
      <t xml:space="preserve">i</t>
    </r>
    <r>
      <rPr>
        <sz val="11"/>
        <color theme="1"/>
        <rFont val="Calibri"/>
        <family val="2"/>
        <charset val="1"/>
      </rPr>
      <t xml:space="preserve">T</t>
    </r>
    <r>
      <rPr>
        <vertAlign val="subscript"/>
        <sz val="11"/>
        <color theme="1"/>
        <rFont val="Calibri"/>
        <family val="2"/>
        <charset val="1"/>
      </rPr>
      <t xml:space="preserve">i</t>
    </r>
  </si>
  <si>
    <t xml:space="preserve">cal/g</t>
  </si>
  <si>
    <r>
      <rPr>
        <sz val="11"/>
        <color theme="1"/>
        <rFont val="Calibri"/>
        <family val="2"/>
        <charset val="1"/>
      </rPr>
      <t xml:space="preserve">m</t>
    </r>
    <r>
      <rPr>
        <vertAlign val="subscript"/>
        <sz val="11"/>
        <color theme="1"/>
        <rFont val="Calibri"/>
        <family val="2"/>
        <charset val="1"/>
      </rPr>
      <t xml:space="preserve">w</t>
    </r>
  </si>
  <si>
    <t xml:space="preserve">g</t>
  </si>
  <si>
    <t xml:space="preserve">Initial Conditions</t>
  </si>
  <si>
    <t xml:space="preserve">Mass of cup:  </t>
  </si>
  <si>
    <t xml:space="preserve">  grams</t>
  </si>
  <si>
    <t xml:space="preserve">Mass of cup &amp; water</t>
  </si>
  <si>
    <r>
      <rPr>
        <sz val="11"/>
        <color theme="1"/>
        <rFont val="Calibri"/>
        <family val="2"/>
        <charset val="1"/>
      </rPr>
      <t xml:space="preserve">M</t>
    </r>
    <r>
      <rPr>
        <vertAlign val="subscript"/>
        <sz val="11"/>
        <color theme="1"/>
        <rFont val="Calibri"/>
        <family val="2"/>
        <charset val="1"/>
      </rPr>
      <t xml:space="preserve">w</t>
    </r>
  </si>
  <si>
    <r>
      <rPr>
        <sz val="11"/>
        <color theme="1"/>
        <rFont val="Calibri"/>
        <family val="2"/>
        <charset val="1"/>
      </rPr>
      <t xml:space="preserve">T</t>
    </r>
    <r>
      <rPr>
        <vertAlign val="subscript"/>
        <sz val="11"/>
        <color theme="1"/>
        <rFont val="Calibri"/>
        <family val="2"/>
        <charset val="1"/>
      </rPr>
      <t xml:space="preserve">w</t>
    </r>
  </si>
  <si>
    <r>
      <rPr>
        <sz val="11"/>
        <color theme="1"/>
        <rFont val="Calibri"/>
        <family val="2"/>
        <charset val="1"/>
      </rPr>
      <t xml:space="preserve">C</t>
    </r>
    <r>
      <rPr>
        <vertAlign val="superscript"/>
        <sz val="11"/>
        <color theme="1"/>
        <rFont val="Calibri"/>
        <family val="2"/>
        <charset val="1"/>
      </rPr>
      <t xml:space="preserve">O</t>
    </r>
  </si>
  <si>
    <r>
      <rPr>
        <sz val="11"/>
        <color theme="1"/>
        <rFont val="Calibri"/>
        <family val="2"/>
        <charset val="1"/>
      </rPr>
      <t xml:space="preserve">cal/g C</t>
    </r>
    <r>
      <rPr>
        <vertAlign val="superscript"/>
        <sz val="11"/>
        <color theme="1"/>
        <rFont val="Calibri"/>
        <family val="2"/>
        <charset val="1"/>
      </rPr>
      <t xml:space="preserve">0</t>
    </r>
  </si>
  <si>
    <r>
      <rPr>
        <sz val="11"/>
        <color theme="1"/>
        <rFont val="Calibri"/>
        <family val="2"/>
        <charset val="1"/>
      </rPr>
      <t xml:space="preserve">T</t>
    </r>
    <r>
      <rPr>
        <vertAlign val="subscript"/>
        <sz val="11"/>
        <color theme="1"/>
        <rFont val="Calibri"/>
        <family val="2"/>
        <charset val="1"/>
      </rPr>
      <t xml:space="preserve">i</t>
    </r>
  </si>
  <si>
    <r>
      <rPr>
        <sz val="11"/>
        <color theme="1"/>
        <rFont val="Calibri"/>
        <family val="2"/>
        <charset val="1"/>
      </rPr>
      <t xml:space="preserve">c</t>
    </r>
    <r>
      <rPr>
        <vertAlign val="subscript"/>
        <sz val="11"/>
        <color theme="1"/>
        <rFont val="Calibri"/>
        <family val="2"/>
        <charset val="1"/>
      </rPr>
      <t xml:space="preserve">i</t>
    </r>
  </si>
  <si>
    <t xml:space="preserve">Mass of cup &amp; water at Varying Temperatures</t>
  </si>
  <si>
    <t xml:space="preserve">Cup + Water + Ice</t>
  </si>
  <si>
    <t xml:space="preserve">M(g)</t>
  </si>
  <si>
    <r>
      <rPr>
        <sz val="11"/>
        <color theme="1"/>
        <rFont val="Calibri"/>
        <family val="2"/>
        <charset val="1"/>
      </rPr>
      <t xml:space="preserve">M</t>
    </r>
    <r>
      <rPr>
        <vertAlign val="superscript"/>
        <sz val="11"/>
        <color theme="1"/>
        <rFont val="Calibri"/>
        <family val="2"/>
        <charset val="1"/>
      </rPr>
      <t xml:space="preserve">-1</t>
    </r>
    <r>
      <rPr>
        <sz val="11"/>
        <color theme="1"/>
        <rFont val="Calibri"/>
        <family val="2"/>
        <charset val="1"/>
      </rPr>
      <t xml:space="preserve">(x 10</t>
    </r>
    <r>
      <rPr>
        <vertAlign val="superscript"/>
        <sz val="11"/>
        <color theme="1"/>
        <rFont val="Calibri"/>
        <family val="2"/>
        <charset val="1"/>
      </rPr>
      <t xml:space="preserve">-3</t>
    </r>
    <r>
      <rPr>
        <sz val="11"/>
        <color theme="1"/>
        <rFont val="Calibri"/>
        <family val="2"/>
        <charset val="1"/>
      </rPr>
      <t xml:space="preserve">g</t>
    </r>
    <r>
      <rPr>
        <vertAlign val="superscript"/>
        <sz val="11"/>
        <color theme="1"/>
        <rFont val="Calibri"/>
        <family val="2"/>
        <charset val="1"/>
      </rPr>
      <t xml:space="preserve">-1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</si>
  <si>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Calibri"/>
        <family val="2"/>
        <charset val="1"/>
      </rPr>
      <t xml:space="preserve">T(C</t>
    </r>
    <r>
      <rPr>
        <vertAlign val="superscript"/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Calibri"/>
        <family val="2"/>
        <charset val="1"/>
      </rPr>
      <t xml:space="preserve">)</t>
    </r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</si>
</sst>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@"/>
    <numFmt numFmtId="166" formatCode="0.00"/>
    <numFmt numFmtId="167" formatCode="0.0"/>
    <numFmt numFmtId="168" formatCode="0.000"/>
  </numFmts>
  <fonts count="2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i val="true"/>
      <sz val="11"/>
      <color theme="1"/>
      <name val="Calibri"/>
      <family val="2"/>
      <charset val="1"/>
    </font>
    <font>
      <b val="true"/>
      <i val="true"/>
      <sz val="11"/>
      <color rgb="FF000000"/>
      <name val="Calibri"/>
      <family val="2"/>
      <charset val="1"/>
    </font>
    <font>
      <sz val="72"/>
      <color rgb="FF000000"/>
      <name val="Al Nile"/>
      <family val="0"/>
      <charset val="178"/>
    </font>
    <font>
      <sz val="72"/>
      <color rgb="FF000000"/>
      <name val="French Script MT"/>
      <family val="4"/>
      <charset val="1"/>
    </font>
    <font>
      <vertAlign val="subscript"/>
      <sz val="11"/>
      <color theme="1"/>
      <name val="Calibri"/>
      <family val="2"/>
      <charset val="1"/>
    </font>
    <font>
      <sz val="11"/>
      <color theme="1"/>
      <name val="DejaVu Sans"/>
      <family val="2"/>
      <charset val="1"/>
    </font>
    <font>
      <sz val="7"/>
      <color theme="1"/>
      <name val="DejaVu Sans"/>
      <family val="2"/>
      <charset val="1"/>
    </font>
    <font>
      <i val="true"/>
      <sz val="7"/>
      <color theme="1"/>
      <name val="DejaVu Sans"/>
      <family val="2"/>
      <charset val="1"/>
    </font>
    <font>
      <vertAlign val="superscript"/>
      <sz val="7"/>
      <color theme="1"/>
      <name val="DejaVu Sans"/>
      <family val="2"/>
      <charset val="1"/>
    </font>
    <font>
      <vertAlign val="subscript"/>
      <sz val="7"/>
      <color theme="1"/>
      <name val="DejaVu Sans"/>
      <family val="2"/>
      <charset val="1"/>
    </font>
    <font>
      <vertAlign val="superscript"/>
      <sz val="11"/>
      <color theme="1"/>
      <name val="Calibri"/>
      <family val="2"/>
      <charset val="1"/>
    </font>
    <font>
      <b val="true"/>
      <sz val="11"/>
      <color rgb="FF000000"/>
      <name val="Calibri"/>
      <family val="2"/>
      <charset val="1"/>
    </font>
    <font>
      <sz val="8"/>
      <color theme="1"/>
      <name val="Calibri"/>
      <family val="2"/>
      <charset val="1"/>
    </font>
    <font>
      <sz val="13"/>
      <color rgb="FF000000"/>
      <name val="Arial"/>
      <family val="2"/>
    </font>
    <font>
      <sz val="10"/>
      <color rgb="FF000000"/>
      <name val="Calibri"/>
      <family val="2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7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/>
      <right/>
      <top style="thin"/>
      <bottom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medium"/>
      <right/>
      <top/>
      <bottom/>
      <diagonal/>
    </border>
    <border diagonalUp="false" diagonalDown="false">
      <left/>
      <right/>
      <top/>
      <bottom style="thin"/>
      <diagonal/>
    </border>
    <border diagonalUp="false" diagonalDown="false">
      <left/>
      <right style="medium"/>
      <top/>
      <bottom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 style="medium"/>
      <top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5" fontId="0" fillId="0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center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3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5" fontId="0" fillId="0" borderId="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5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5" fontId="0" fillId="0" borderId="6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5" fontId="4" fillId="0" borderId="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4" fillId="0" borderId="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4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left" vertical="center" textRotation="0" wrapText="false" indent="0" shrinkToFit="false"/>
      <protection locked="true" hidden="false"/>
    </xf>
    <xf numFmtId="165" fontId="4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1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9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9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3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0" fillId="0" borderId="4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6" fillId="0" borderId="10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7" fillId="0" borderId="1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12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9" fillId="0" borderId="1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0" fillId="0" borderId="1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1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0" fillId="0" borderId="13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15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7" fillId="0" borderId="1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5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13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13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6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3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5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4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5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15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16" fillId="0" borderId="1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8" fontId="0" fillId="0" borderId="0" xfId="0" applyFont="fals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7" fontId="0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7" fontId="0" fillId="0" borderId="4" xfId="0" applyFont="false" applyBorder="true" applyAlignment="true" applyProtection="tru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3B3B3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458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trike="noStrike" u="none">
                <a:uFillTx/>
                <a:latin typeface="Arial"/>
              </a:defRPr>
            </a:pPr>
            <a:r>
              <a:rPr b="0" sz="1300" strike="noStrike" u="none">
                <a:solidFill>
                  <a:srgbClr val="000000"/>
                </a:solidFill>
                <a:uFillTx/>
                <a:latin typeface="Arial"/>
              </a:rPr>
              <a:t>Temperature v.s. Inverse Mass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'Data Graph Calculation'!$I$33</c:f>
              <c:strCache>
                <c:ptCount val="1"/>
                <c:pt idx="0">
                  <c:v>T(C0)</c:v>
                </c:pt>
              </c:strCache>
            </c:strRef>
          </c:tx>
          <c:spPr>
            <a:solidFill>
              <a:srgbClr val="004586"/>
            </a:solidFill>
            <a:ln w="28800">
              <a:noFill/>
            </a:ln>
          </c:spPr>
          <c:marker>
            <c:symbol val="square"/>
            <c:size val="8"/>
            <c:spPr>
              <a:solidFill>
                <a:srgbClr val="004586"/>
              </a:solidFill>
            </c:spPr>
          </c:marker>
          <c:dLbls>
            <c:txPr>
              <a:bodyPr wrap="non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noFill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trendline>
            <c:spPr>
              <a:ln w="0">
                <a:solidFill>
                  <a:srgbClr val="004586"/>
                </a:solidFill>
              </a:ln>
            </c:spPr>
            <c:trendlineType val="linear"/>
            <c:forward val="0"/>
            <c:backward val="0"/>
            <c:dispRSqr val="0"/>
            <c:dispEq val="1"/>
          </c:trendline>
          <c:xVal>
            <c:numRef>
              <c:f>'Data Graph Calculation'!$G$34:$G$43</c:f>
              <c:numCache>
                <c:formatCode>0.000</c:formatCode>
                <c:ptCount val="10"/>
                <c:pt idx="0">
                  <c:v>3.87897595034911</c:v>
                </c:pt>
                <c:pt idx="1">
                  <c:v>3.82262996941896</c:v>
                </c:pt>
                <c:pt idx="2">
                  <c:v>3.76789751318764</c:v>
                </c:pt>
                <c:pt idx="3">
                  <c:v>3.71195248700817</c:v>
                </c:pt>
                <c:pt idx="4">
                  <c:v>3.65898280278083</c:v>
                </c:pt>
                <c:pt idx="5">
                  <c:v>3.60490266762797</c:v>
                </c:pt>
                <c:pt idx="6">
                  <c:v>3.5498757543486</c:v>
                </c:pt>
                <c:pt idx="7">
                  <c:v>3.50140056022409</c:v>
                </c:pt>
                <c:pt idx="8">
                  <c:v>3.45303867403315</c:v>
                </c:pt>
                <c:pt idx="9">
                  <c:v>3.40367597004765</c:v>
                </c:pt>
              </c:numCache>
            </c:numRef>
          </c:xVal>
          <c:yVal>
            <c:numRef>
              <c:f>'Data Graph Calculation'!$I$34:$I$43</c:f>
              <c:numCache>
                <c:formatCode>0.0</c:formatCode>
                <c:ptCount val="10"/>
                <c:pt idx="0">
                  <c:v>31.4</c:v>
                </c:pt>
                <c:pt idx="1">
                  <c:v>29</c:v>
                </c:pt>
                <c:pt idx="2">
                  <c:v>27.6</c:v>
                </c:pt>
                <c:pt idx="3">
                  <c:v>26</c:v>
                </c:pt>
                <c:pt idx="4">
                  <c:v>25.5</c:v>
                </c:pt>
                <c:pt idx="5">
                  <c:v>24</c:v>
                </c:pt>
                <c:pt idx="6">
                  <c:v>22.4</c:v>
                </c:pt>
                <c:pt idx="7">
                  <c:v>21.1</c:v>
                </c:pt>
                <c:pt idx="8">
                  <c:v>19.4</c:v>
                </c:pt>
                <c:pt idx="9">
                  <c:v>18.5</c:v>
                </c:pt>
              </c:numCache>
            </c:numRef>
          </c:yVal>
          <c:smooth val="0"/>
        </c:ser>
        <c:axId val="6927507"/>
        <c:axId val="88419355"/>
      </c:scatterChart>
      <c:valAx>
        <c:axId val="6927507"/>
        <c:scaling>
          <c:orientation val="minMax"/>
        </c:scaling>
        <c:delete val="0"/>
        <c:axPos val="b"/>
        <c:numFmt formatCode="0.000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Arial"/>
              </a:defRPr>
            </a:pPr>
          </a:p>
        </c:txPr>
        <c:crossAx val="88419355"/>
        <c:crosses val="autoZero"/>
        <c:crossBetween val="midCat"/>
      </c:valAx>
      <c:valAx>
        <c:axId val="88419355"/>
        <c:scaling>
          <c:orientation val="minMax"/>
          <c:min val="15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0.0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Arial"/>
              </a:defRPr>
            </a:pPr>
          </a:p>
        </c:txPr>
        <c:crossAx val="6927507"/>
        <c:crossesAt val="0"/>
        <c:crossBetween val="midCat"/>
      </c:valAx>
      <c:spPr>
        <a:noFill/>
        <a:ln w="0">
          <a:solidFill>
            <a:srgbClr val="b3b3b3"/>
          </a:solidFill>
        </a:ln>
      </c:spPr>
    </c:plotArea>
    <c:plotVisOnly val="1"/>
    <c:dispBlanksAs val="span"/>
  </c:chart>
  <c:spPr>
    <a:solidFill>
      <a:srgbClr val="ffffff"/>
    </a:solidFill>
    <a:ln w="0">
      <a:noFill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10</xdr:col>
      <xdr:colOff>162360</xdr:colOff>
      <xdr:row>28</xdr:row>
      <xdr:rowOff>289080</xdr:rowOff>
    </xdr:from>
    <xdr:to>
      <xdr:col>25</xdr:col>
      <xdr:colOff>466920</xdr:colOff>
      <xdr:row>38</xdr:row>
      <xdr:rowOff>137520</xdr:rowOff>
    </xdr:to>
    <xdr:graphicFrame>
      <xdr:nvGraphicFramePr>
        <xdr:cNvPr id="0" name=""/>
        <xdr:cNvGraphicFramePr/>
      </xdr:nvGraphicFramePr>
      <xdr:xfrm>
        <a:off x="5431680" y="8013960"/>
        <a:ext cx="5761080" cy="323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AH44"/>
  <sheetViews>
    <sheetView showFormulas="false" showGridLines="true" showRowColHeaders="true" showZeros="true" rightToLeft="false" tabSelected="true" showOutlineSymbols="true" defaultGridColor="true" view="normal" topLeftCell="L11" colorId="64" zoomScale="140" zoomScaleNormal="140" zoomScalePageLayoutView="100" workbookViewId="0">
      <selection pane="topLeft" activeCell="N7" activeCellId="0" sqref="N7"/>
    </sheetView>
  </sheetViews>
  <sheetFormatPr defaultColWidth="8.859375" defaultRowHeight="15" customHeight="true" zeroHeight="false" outlineLevelRow="0" outlineLevelCol="0"/>
  <cols>
    <col collapsed="false" customWidth="true" hidden="false" outlineLevel="0" max="1" min="1" style="1" width="5.14"/>
    <col collapsed="false" customWidth="true" hidden="false" outlineLevel="0" max="2" min="2" style="1" width="3.15"/>
    <col collapsed="false" customWidth="true" hidden="false" outlineLevel="0" max="3" min="3" style="1" width="13.29"/>
    <col collapsed="false" customWidth="true" hidden="false" outlineLevel="0" max="4" min="4" style="1" width="3.15"/>
    <col collapsed="false" customWidth="true" hidden="false" outlineLevel="0" max="5" min="5" style="1" width="13.29"/>
    <col collapsed="false" customWidth="true" hidden="false" outlineLevel="0" max="6" min="6" style="1" width="3.15"/>
    <col collapsed="false" customWidth="true" hidden="false" outlineLevel="0" max="7" min="7" style="1" width="13.29"/>
    <col collapsed="false" customWidth="true" hidden="false" outlineLevel="0" max="8" min="8" style="1" width="3.29"/>
    <col collapsed="false" customWidth="true" hidden="false" outlineLevel="0" max="9" min="9" style="1" width="13.71"/>
    <col collapsed="false" customWidth="true" hidden="false" outlineLevel="0" max="10" min="10" style="1" width="3.29"/>
    <col collapsed="false" customWidth="true" hidden="false" outlineLevel="0" max="11" min="11" style="1" width="5.14"/>
    <col collapsed="false" customWidth="true" hidden="false" outlineLevel="0" max="12" min="12" style="1" width="3.15"/>
    <col collapsed="false" customWidth="true" hidden="false" outlineLevel="0" max="13" min="13" style="1" width="2.42"/>
    <col collapsed="false" customWidth="true" hidden="false" outlineLevel="0" max="14" min="14" style="1" width="6.29"/>
    <col collapsed="false" customWidth="true" hidden="false" outlineLevel="0" max="15" min="15" style="1" width="3.29"/>
    <col collapsed="false" customWidth="true" hidden="false" outlineLevel="0" max="16" min="16" style="1" width="6.43"/>
    <col collapsed="false" customWidth="true" hidden="false" outlineLevel="0" max="17" min="17" style="1" width="1.29"/>
    <col collapsed="false" customWidth="true" hidden="false" outlineLevel="0" max="18" min="18" style="1" width="7.18"/>
    <col collapsed="false" customWidth="true" hidden="false" outlineLevel="0" max="19" min="19" style="1" width="10.92"/>
    <col collapsed="false" customWidth="true" hidden="false" outlineLevel="0" max="20" min="20" style="1" width="6.43"/>
    <col collapsed="false" customWidth="true" hidden="false" outlineLevel="0" max="21" min="21" style="1" width="1.29"/>
    <col collapsed="false" customWidth="true" hidden="false" outlineLevel="0" max="22" min="22" style="1" width="7.16"/>
    <col collapsed="false" customWidth="true" hidden="false" outlineLevel="0" max="23" min="23" style="1" width="3.29"/>
    <col collapsed="false" customWidth="true" hidden="false" outlineLevel="0" max="24" min="24" style="1" width="11.85"/>
    <col collapsed="false" customWidth="true" hidden="false" outlineLevel="0" max="25" min="25" style="1" width="1.29"/>
    <col collapsed="false" customWidth="true" hidden="false" outlineLevel="0" max="26" min="26" style="1" width="12.29"/>
    <col collapsed="false" customWidth="true" hidden="false" outlineLevel="0" max="27" min="27" style="1" width="13.91"/>
    <col collapsed="false" customWidth="true" hidden="false" outlineLevel="0" max="28" min="28" style="1" width="9.42"/>
    <col collapsed="false" customWidth="true" hidden="false" outlineLevel="0" max="29" min="29" style="1" width="1.29"/>
    <col collapsed="false" customWidth="true" hidden="false" outlineLevel="0" max="30" min="30" style="1" width="22.59"/>
    <col collapsed="false" customWidth="true" hidden="false" outlineLevel="0" max="31" min="31" style="1" width="3.29"/>
    <col collapsed="false" customWidth="true" hidden="false" outlineLevel="0" max="34" min="34" style="1" width="2.42"/>
  </cols>
  <sheetData>
    <row r="2" customFormat="false" ht="30.75" hidden="false" customHeight="true" outlineLevel="0" collapsed="false">
      <c r="B2" s="2" t="s">
        <v>0</v>
      </c>
      <c r="C2" s="2"/>
      <c r="D2" s="2"/>
      <c r="E2" s="3" t="s">
        <v>1</v>
      </c>
      <c r="F2" s="3"/>
      <c r="G2" s="3"/>
      <c r="H2" s="3"/>
      <c r="I2" s="3"/>
      <c r="J2" s="3"/>
      <c r="K2" s="3"/>
      <c r="L2" s="4"/>
      <c r="M2" s="4"/>
      <c r="AC2" s="5"/>
    </row>
    <row r="3" customFormat="false" ht="30.75" hidden="false" customHeight="true" outlineLevel="0" collapsed="false">
      <c r="B3" s="6" t="s">
        <v>2</v>
      </c>
      <c r="C3" s="6"/>
      <c r="D3" s="6"/>
      <c r="E3" s="7" t="s">
        <v>3</v>
      </c>
      <c r="F3" s="7"/>
      <c r="G3" s="7"/>
      <c r="H3" s="7"/>
      <c r="I3" s="7"/>
      <c r="J3" s="7"/>
      <c r="K3" s="7"/>
      <c r="L3" s="4"/>
      <c r="M3" s="4"/>
      <c r="AC3" s="5"/>
    </row>
    <row r="4" customFormat="false" ht="30.75" hidden="false" customHeight="true" outlineLevel="0" collapsed="false">
      <c r="B4" s="8" t="s">
        <v>4</v>
      </c>
      <c r="C4" s="8"/>
      <c r="D4" s="8"/>
      <c r="E4" s="9" t="s">
        <v>5</v>
      </c>
      <c r="F4" s="9"/>
      <c r="G4" s="9"/>
      <c r="H4" s="9"/>
      <c r="I4" s="10" t="s">
        <v>6</v>
      </c>
      <c r="J4" s="11" t="s">
        <v>7</v>
      </c>
      <c r="K4" s="11"/>
      <c r="L4" s="12"/>
      <c r="M4" s="12"/>
      <c r="AC4" s="5"/>
    </row>
    <row r="5" customFormat="false" ht="12.75" hidden="false" customHeight="true" outlineLevel="0" collapsed="false">
      <c r="B5" s="13"/>
      <c r="C5" s="13"/>
      <c r="D5" s="13"/>
      <c r="E5" s="14"/>
      <c r="F5" s="14"/>
      <c r="G5" s="14"/>
      <c r="H5" s="14"/>
      <c r="I5" s="15"/>
      <c r="J5" s="15"/>
      <c r="K5" s="15"/>
      <c r="L5" s="12"/>
      <c r="M5" s="12"/>
      <c r="AC5" s="5"/>
    </row>
    <row r="6" customFormat="false" ht="9" hidden="false" customHeight="true" outlineLevel="0" collapsed="false">
      <c r="M6" s="16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  <c r="AD6" s="17"/>
      <c r="AE6" s="17"/>
      <c r="AF6" s="18"/>
      <c r="AG6" s="18"/>
      <c r="AH6" s="19"/>
    </row>
    <row r="7" customFormat="false" ht="24.75" hidden="false" customHeight="true" outlineLevel="0" collapsed="false">
      <c r="C7" s="20"/>
      <c r="D7" s="21"/>
      <c r="E7" s="21"/>
      <c r="F7" s="21"/>
      <c r="G7" s="21"/>
      <c r="H7" s="22"/>
      <c r="I7" s="22"/>
      <c r="J7" s="22"/>
      <c r="M7" s="23"/>
      <c r="N7" s="24" t="s">
        <v>8</v>
      </c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  <c r="AD7" s="24"/>
      <c r="AE7" s="22"/>
      <c r="AH7" s="25"/>
    </row>
    <row r="8" customFormat="false" ht="24.75" hidden="false" customHeight="true" outlineLevel="0" collapsed="false">
      <c r="C8" s="20"/>
      <c r="D8" s="21"/>
      <c r="E8" s="21"/>
      <c r="F8" s="21"/>
      <c r="G8" s="21"/>
      <c r="H8" s="22"/>
      <c r="I8" s="22"/>
      <c r="J8" s="22"/>
      <c r="M8" s="23"/>
      <c r="N8" s="26" t="s">
        <v>9</v>
      </c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  <c r="AE8" s="22"/>
      <c r="AH8" s="25"/>
    </row>
    <row r="9" customFormat="false" ht="15" hidden="false" customHeight="false" outlineLevel="0" collapsed="false">
      <c r="M9" s="23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  <c r="AC9" s="22"/>
      <c r="AD9" s="22"/>
      <c r="AE9" s="22"/>
      <c r="AH9" s="25"/>
    </row>
    <row r="10" customFormat="false" ht="13.5" hidden="false" customHeight="true" outlineLevel="0" collapsed="false">
      <c r="M10" s="23"/>
      <c r="N10" s="22"/>
      <c r="O10" s="22"/>
      <c r="P10" s="22"/>
      <c r="Q10" s="27"/>
      <c r="R10" s="22"/>
      <c r="S10" s="22"/>
      <c r="T10" s="22"/>
      <c r="U10" s="28"/>
      <c r="V10" s="22"/>
      <c r="W10" s="22"/>
      <c r="X10" s="22"/>
      <c r="Y10" s="27"/>
      <c r="Z10" s="22"/>
      <c r="AA10" s="22"/>
      <c r="AB10" s="22"/>
      <c r="AC10" s="28"/>
      <c r="AD10" s="22"/>
      <c r="AE10" s="22"/>
      <c r="AH10" s="25"/>
    </row>
    <row r="11" customFormat="false" ht="26.25" hidden="false" customHeight="true" outlineLevel="0" collapsed="false">
      <c r="M11" s="23"/>
      <c r="N11" s="29" t="s">
        <v>10</v>
      </c>
      <c r="O11" s="29" t="s">
        <v>11</v>
      </c>
      <c r="P11" s="29" t="s">
        <v>12</v>
      </c>
      <c r="Q11" s="30"/>
      <c r="R11" s="31" t="s">
        <v>13</v>
      </c>
      <c r="S11" s="32" t="s">
        <v>14</v>
      </c>
      <c r="T11" s="29" t="s">
        <v>15</v>
      </c>
      <c r="U11" s="33"/>
      <c r="V11" s="29" t="s">
        <v>16</v>
      </c>
      <c r="W11" s="29" t="s">
        <v>11</v>
      </c>
      <c r="X11" s="34" t="str">
        <f aca="false">_xlfn.CONCAT(E23, " cal/gC°")</f>
        <v>1 cal/gC°</v>
      </c>
      <c r="Y11" s="30"/>
      <c r="Z11" s="35" t="n">
        <f aca="false">SLOPE(I34:I43,G34:G43)</f>
        <v>26.1035599285159</v>
      </c>
      <c r="AA11" s="32" t="s">
        <v>14</v>
      </c>
      <c r="AB11" s="29" t="str">
        <f aca="false">_xlfn.CONCAT("- ",E22, " C°")</f>
        <v>- 34.4 C°</v>
      </c>
      <c r="AC11" s="33"/>
      <c r="AD11" s="29" t="str">
        <f aca="false">_xlfn.CONCAT("+ ",TEXT(E25,"0.00"),"cal/gC°  * ",TEXT(E24,"0.0")," C°")</f>
        <v>+ 0.49cal/gC°  * -3.0 C°</v>
      </c>
      <c r="AE11" s="29" t="s">
        <v>11</v>
      </c>
      <c r="AF11" s="34" t="n">
        <f aca="false">((Z11*1000)/Z12-E22)*E23 + E25*E24</f>
        <v>66.9403975128629</v>
      </c>
      <c r="AG11" s="29" t="s">
        <v>17</v>
      </c>
      <c r="AH11" s="25"/>
    </row>
    <row r="12" customFormat="false" ht="26.25" hidden="false" customHeight="true" outlineLevel="0" collapsed="false">
      <c r="M12" s="23"/>
      <c r="N12" s="29"/>
      <c r="O12" s="29"/>
      <c r="P12" s="29"/>
      <c r="Q12" s="30"/>
      <c r="R12" s="22" t="s">
        <v>18</v>
      </c>
      <c r="S12" s="22" t="s">
        <v>19</v>
      </c>
      <c r="T12" s="29"/>
      <c r="U12" s="33"/>
      <c r="V12" s="29"/>
      <c r="W12" s="29"/>
      <c r="X12" s="29"/>
      <c r="Y12" s="30"/>
      <c r="Z12" s="36" t="n">
        <f aca="false">E21</f>
        <v>253.9</v>
      </c>
      <c r="AA12" s="22" t="s">
        <v>19</v>
      </c>
      <c r="AB12" s="29"/>
      <c r="AC12" s="33"/>
      <c r="AD12" s="29"/>
      <c r="AE12" s="29"/>
      <c r="AF12" s="34"/>
      <c r="AG12" s="29"/>
      <c r="AH12" s="25"/>
    </row>
    <row r="13" customFormat="false" ht="18.75" hidden="false" customHeight="true" outlineLevel="0" collapsed="false">
      <c r="M13" s="23"/>
      <c r="N13" s="22"/>
      <c r="O13" s="22"/>
      <c r="P13" s="22"/>
      <c r="Q13" s="37"/>
      <c r="R13" s="22"/>
      <c r="S13" s="22"/>
      <c r="T13" s="22"/>
      <c r="U13" s="38"/>
      <c r="V13" s="22"/>
      <c r="W13" s="22"/>
      <c r="X13" s="22"/>
      <c r="Y13" s="37"/>
      <c r="Z13" s="22"/>
      <c r="AA13" s="22"/>
      <c r="AB13" s="22"/>
      <c r="AC13" s="38"/>
      <c r="AD13" s="22"/>
      <c r="AE13" s="22"/>
      <c r="AF13" s="39"/>
      <c r="AG13" s="22"/>
      <c r="AH13" s="25"/>
    </row>
    <row r="14" customFormat="false" ht="9" hidden="false" customHeight="true" outlineLevel="0" collapsed="false">
      <c r="M14" s="40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41"/>
      <c r="AA14" s="41"/>
      <c r="AB14" s="41"/>
      <c r="AC14" s="41"/>
      <c r="AD14" s="41"/>
      <c r="AE14" s="41"/>
      <c r="AF14" s="42"/>
      <c r="AG14" s="42"/>
      <c r="AH14" s="43"/>
    </row>
    <row r="15" customFormat="false" ht="11.25" hidden="false" customHeight="true" outlineLevel="0" collapsed="false"/>
    <row r="16" customFormat="false" ht="15" hidden="false" customHeight="false" outlineLevel="0" collapsed="false">
      <c r="B16" s="44"/>
      <c r="C16" s="18"/>
      <c r="D16" s="18"/>
      <c r="E16" s="18"/>
      <c r="F16" s="18"/>
      <c r="G16" s="18"/>
      <c r="H16" s="19"/>
    </row>
    <row r="17" customFormat="false" ht="29.25" hidden="false" customHeight="true" outlineLevel="0" collapsed="false">
      <c r="B17" s="45"/>
      <c r="C17" s="46" t="s">
        <v>20</v>
      </c>
      <c r="D17" s="46"/>
      <c r="E17" s="46"/>
      <c r="F17" s="46"/>
      <c r="G17" s="46"/>
      <c r="H17" s="25"/>
    </row>
    <row r="18" customFormat="false" ht="15" hidden="false" customHeight="false" outlineLevel="0" collapsed="false">
      <c r="B18" s="45"/>
      <c r="H18" s="25"/>
    </row>
    <row r="19" customFormat="false" ht="29.25" hidden="false" customHeight="true" outlineLevel="0" collapsed="false">
      <c r="B19" s="45"/>
      <c r="C19" s="22" t="s">
        <v>21</v>
      </c>
      <c r="D19" s="22" t="s">
        <v>11</v>
      </c>
      <c r="E19" s="22" t="n">
        <v>7.5</v>
      </c>
      <c r="F19" s="29" t="s">
        <v>22</v>
      </c>
      <c r="G19" s="29"/>
      <c r="H19" s="25"/>
    </row>
    <row r="20" customFormat="false" ht="29.25" hidden="false" customHeight="true" outlineLevel="0" collapsed="false">
      <c r="B20" s="45"/>
      <c r="C20" s="47" t="s">
        <v>23</v>
      </c>
      <c r="D20" s="22" t="s">
        <v>11</v>
      </c>
      <c r="E20" s="22" t="n">
        <v>261.4</v>
      </c>
      <c r="F20" s="29" t="s">
        <v>22</v>
      </c>
      <c r="G20" s="29"/>
      <c r="H20" s="25"/>
    </row>
    <row r="21" customFormat="false" ht="29.25" hidden="false" customHeight="true" outlineLevel="0" collapsed="false">
      <c r="B21" s="45"/>
      <c r="C21" s="22" t="s">
        <v>24</v>
      </c>
      <c r="D21" s="22" t="s">
        <v>11</v>
      </c>
      <c r="E21" s="22" t="n">
        <f aca="false">E20-E19</f>
        <v>253.9</v>
      </c>
      <c r="F21" s="29" t="s">
        <v>19</v>
      </c>
      <c r="G21" s="29"/>
      <c r="H21" s="25"/>
    </row>
    <row r="22" customFormat="false" ht="29.25" hidden="false" customHeight="true" outlineLevel="0" collapsed="false">
      <c r="B22" s="45"/>
      <c r="C22" s="22" t="s">
        <v>25</v>
      </c>
      <c r="D22" s="22" t="s">
        <v>11</v>
      </c>
      <c r="E22" s="22" t="n">
        <v>34.4</v>
      </c>
      <c r="F22" s="29" t="s">
        <v>26</v>
      </c>
      <c r="G22" s="29"/>
      <c r="H22" s="25"/>
    </row>
    <row r="23" customFormat="false" ht="29.25" hidden="false" customHeight="true" outlineLevel="0" collapsed="false">
      <c r="B23" s="45"/>
      <c r="C23" s="22" t="s">
        <v>12</v>
      </c>
      <c r="D23" s="22" t="s">
        <v>11</v>
      </c>
      <c r="E23" s="22" t="n">
        <v>1</v>
      </c>
      <c r="F23" s="29" t="s">
        <v>27</v>
      </c>
      <c r="G23" s="29"/>
      <c r="H23" s="25"/>
    </row>
    <row r="24" customFormat="false" ht="29.25" hidden="false" customHeight="true" outlineLevel="0" collapsed="false">
      <c r="B24" s="45"/>
      <c r="C24" s="22" t="s">
        <v>28</v>
      </c>
      <c r="D24" s="22" t="s">
        <v>11</v>
      </c>
      <c r="E24" s="22" t="n">
        <v>-3</v>
      </c>
      <c r="F24" s="29" t="s">
        <v>26</v>
      </c>
      <c r="G24" s="29"/>
      <c r="H24" s="25"/>
    </row>
    <row r="25" customFormat="false" ht="29.25" hidden="false" customHeight="true" outlineLevel="0" collapsed="false">
      <c r="B25" s="45"/>
      <c r="C25" s="22" t="s">
        <v>29</v>
      </c>
      <c r="D25" s="22" t="s">
        <v>11</v>
      </c>
      <c r="E25" s="22" t="n">
        <v>0.49</v>
      </c>
      <c r="F25" s="29" t="s">
        <v>27</v>
      </c>
      <c r="G25" s="29"/>
      <c r="H25" s="25"/>
    </row>
    <row r="26" s="22" customFormat="true" ht="14.25" hidden="false" customHeight="true" outlineLevel="0" collapsed="false">
      <c r="A26" s="1"/>
      <c r="B26" s="48"/>
      <c r="C26" s="42"/>
      <c r="D26" s="42"/>
      <c r="E26" s="42"/>
      <c r="F26" s="42"/>
      <c r="G26" s="42"/>
      <c r="H26" s="43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</row>
    <row r="27" s="22" customFormat="true" ht="15" hidden="false" customHeight="false" outlineLevel="0" collapsed="false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</row>
    <row r="28" s="22" customFormat="true" ht="16.5" hidden="false" customHeight="true" outlineLevel="0" collapsed="false">
      <c r="A28" s="1"/>
      <c r="B28" s="44"/>
      <c r="C28" s="18"/>
      <c r="D28" s="18"/>
      <c r="E28" s="18"/>
      <c r="F28" s="18"/>
      <c r="G28" s="18"/>
      <c r="H28" s="18"/>
      <c r="I28" s="18"/>
      <c r="J28" s="19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</row>
    <row r="29" s="22" customFormat="true" ht="29.25" hidden="false" customHeight="true" outlineLevel="0" collapsed="false">
      <c r="B29" s="23"/>
      <c r="C29" s="49" t="s">
        <v>30</v>
      </c>
      <c r="D29" s="49"/>
      <c r="E29" s="49"/>
      <c r="F29" s="49"/>
      <c r="G29" s="49"/>
      <c r="J29" s="50"/>
    </row>
    <row r="30" s="22" customFormat="true" ht="16.5" hidden="false" customHeight="true" outlineLevel="0" collapsed="false">
      <c r="B30" s="23"/>
      <c r="C30" s="51"/>
      <c r="J30" s="50"/>
    </row>
    <row r="31" s="22" customFormat="true" ht="29.25" hidden="false" customHeight="true" outlineLevel="0" collapsed="false">
      <c r="B31" s="23"/>
      <c r="C31" s="52" t="s">
        <v>21</v>
      </c>
      <c r="D31" s="52"/>
      <c r="E31" s="52"/>
      <c r="F31" s="29" t="n">
        <f aca="false">E19</f>
        <v>7.5</v>
      </c>
      <c r="G31" s="29"/>
      <c r="H31" s="26" t="s">
        <v>22</v>
      </c>
      <c r="I31" s="26"/>
      <c r="J31" s="50"/>
    </row>
    <row r="32" s="22" customFormat="true" ht="16.5" hidden="false" customHeight="true" outlineLevel="0" collapsed="false">
      <c r="B32" s="23"/>
      <c r="J32" s="50"/>
    </row>
    <row r="33" s="22" customFormat="true" ht="29.25" hidden="false" customHeight="true" outlineLevel="0" collapsed="false">
      <c r="B33" s="23"/>
      <c r="C33" s="53" t="s">
        <v>31</v>
      </c>
      <c r="E33" s="41" t="s">
        <v>32</v>
      </c>
      <c r="G33" s="41" t="s">
        <v>33</v>
      </c>
      <c r="I33" s="41" t="s">
        <v>34</v>
      </c>
      <c r="J33" s="50"/>
    </row>
    <row r="34" s="22" customFormat="true" ht="29.25" hidden="false" customHeight="true" outlineLevel="0" collapsed="false">
      <c r="B34" s="23"/>
      <c r="C34" s="22" t="n">
        <v>265.3</v>
      </c>
      <c r="E34" s="39" t="n">
        <f aca="false">$C34-$E$19</f>
        <v>257.8</v>
      </c>
      <c r="G34" s="54" t="n">
        <f aca="false">1000/(E34)</f>
        <v>3.87897595034911</v>
      </c>
      <c r="I34" s="39" t="n">
        <v>31.4</v>
      </c>
      <c r="J34" s="50"/>
    </row>
    <row r="35" s="22" customFormat="true" ht="29.25" hidden="false" customHeight="true" outlineLevel="0" collapsed="false">
      <c r="B35" s="23"/>
      <c r="C35" s="22" t="n">
        <v>269.1</v>
      </c>
      <c r="E35" s="39" t="n">
        <f aca="false">$C35-$E$19</f>
        <v>261.6</v>
      </c>
      <c r="G35" s="54" t="n">
        <f aca="false">1000/(E35)</f>
        <v>3.82262996941896</v>
      </c>
      <c r="I35" s="39" t="n">
        <v>29</v>
      </c>
      <c r="J35" s="50"/>
    </row>
    <row r="36" s="22" customFormat="true" ht="29.25" hidden="false" customHeight="true" outlineLevel="0" collapsed="false">
      <c r="B36" s="23"/>
      <c r="C36" s="22" t="n">
        <v>272.9</v>
      </c>
      <c r="E36" s="39" t="n">
        <f aca="false">$C36-$E$19</f>
        <v>265.4</v>
      </c>
      <c r="G36" s="54" t="n">
        <f aca="false">1000/(E36)</f>
        <v>3.76789751318764</v>
      </c>
      <c r="I36" s="39" t="n">
        <v>27.6</v>
      </c>
      <c r="J36" s="50"/>
    </row>
    <row r="37" s="22" customFormat="true" ht="29.25" hidden="false" customHeight="true" outlineLevel="0" collapsed="false">
      <c r="B37" s="23"/>
      <c r="C37" s="22" t="n">
        <v>276.9</v>
      </c>
      <c r="E37" s="39" t="n">
        <f aca="false">$C37-$E$19</f>
        <v>269.4</v>
      </c>
      <c r="G37" s="54" t="n">
        <f aca="false">1000/(E37)</f>
        <v>3.71195248700817</v>
      </c>
      <c r="I37" s="39" t="n">
        <v>26</v>
      </c>
      <c r="J37" s="50"/>
    </row>
    <row r="38" s="22" customFormat="true" ht="29.25" hidden="false" customHeight="true" outlineLevel="0" collapsed="false">
      <c r="B38" s="23"/>
      <c r="C38" s="22" t="n">
        <v>280.8</v>
      </c>
      <c r="E38" s="39" t="n">
        <f aca="false">$C38-$E$19</f>
        <v>273.3</v>
      </c>
      <c r="G38" s="54" t="n">
        <f aca="false">1000/(E38)</f>
        <v>3.65898280278083</v>
      </c>
      <c r="I38" s="39" t="n">
        <v>25.5</v>
      </c>
      <c r="J38" s="50"/>
    </row>
    <row r="39" s="22" customFormat="true" ht="29.25" hidden="false" customHeight="true" outlineLevel="0" collapsed="false">
      <c r="B39" s="23"/>
      <c r="C39" s="55" t="n">
        <v>284.9</v>
      </c>
      <c r="E39" s="39" t="n">
        <f aca="false">$C39-$E$19</f>
        <v>277.4</v>
      </c>
      <c r="G39" s="54" t="n">
        <f aca="false">1000/(E39)</f>
        <v>3.60490266762797</v>
      </c>
      <c r="I39" s="56" t="n">
        <v>24</v>
      </c>
      <c r="J39" s="50"/>
    </row>
    <row r="40" customFormat="false" ht="29.25" hidden="false" customHeight="true" outlineLevel="0" collapsed="false">
      <c r="A40" s="22"/>
      <c r="B40" s="23"/>
      <c r="C40" s="22" t="n">
        <v>289.2</v>
      </c>
      <c r="D40" s="22"/>
      <c r="E40" s="39" t="n">
        <f aca="false">$C40-$E$19</f>
        <v>281.7</v>
      </c>
      <c r="F40" s="22"/>
      <c r="G40" s="54" t="n">
        <f aca="false">1000/(E40)</f>
        <v>3.5498757543486</v>
      </c>
      <c r="H40" s="22"/>
      <c r="I40" s="39" t="n">
        <v>22.4</v>
      </c>
      <c r="J40" s="50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</row>
    <row r="41" customFormat="false" ht="29.25" hidden="false" customHeight="true" outlineLevel="0" collapsed="false">
      <c r="A41" s="22"/>
      <c r="B41" s="23"/>
      <c r="C41" s="22" t="n">
        <v>293.1</v>
      </c>
      <c r="D41" s="22"/>
      <c r="E41" s="39" t="n">
        <f aca="false">$C41-$E$19</f>
        <v>285.6</v>
      </c>
      <c r="F41" s="22"/>
      <c r="G41" s="54" t="n">
        <f aca="false">1000/(E41)</f>
        <v>3.50140056022409</v>
      </c>
      <c r="H41" s="39"/>
      <c r="I41" s="39" t="n">
        <v>21.1</v>
      </c>
      <c r="J41" s="57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</row>
    <row r="42" customFormat="false" ht="29.25" hidden="false" customHeight="true" outlineLevel="0" collapsed="false">
      <c r="A42" s="22"/>
      <c r="B42" s="23"/>
      <c r="C42" s="22" t="n">
        <v>297.1</v>
      </c>
      <c r="D42" s="22"/>
      <c r="E42" s="39" t="n">
        <f aca="false">$C42-$E$19</f>
        <v>289.6</v>
      </c>
      <c r="F42" s="22"/>
      <c r="G42" s="54" t="n">
        <f aca="false">1000/(E42)</f>
        <v>3.45303867403315</v>
      </c>
      <c r="H42" s="22"/>
      <c r="I42" s="39" t="n">
        <v>19.4</v>
      </c>
      <c r="J42" s="50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  <c r="AD42" s="22"/>
      <c r="AE42" s="22"/>
      <c r="AF42" s="22"/>
      <c r="AG42" s="22"/>
      <c r="AH42" s="22"/>
    </row>
    <row r="43" customFormat="false" ht="29.25" hidden="false" customHeight="true" outlineLevel="0" collapsed="false">
      <c r="A43" s="22"/>
      <c r="B43" s="23"/>
      <c r="C43" s="22" t="n">
        <v>301.3</v>
      </c>
      <c r="D43" s="22"/>
      <c r="E43" s="39" t="n">
        <f aca="false">$C43-$E$19</f>
        <v>293.8</v>
      </c>
      <c r="F43" s="22"/>
      <c r="G43" s="54" t="n">
        <f aca="false">1000/(E43)</f>
        <v>3.40367597004765</v>
      </c>
      <c r="H43" s="22"/>
      <c r="I43" s="39" t="n">
        <v>18.5</v>
      </c>
      <c r="J43" s="50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  <c r="AB43" s="22"/>
      <c r="AC43" s="22"/>
      <c r="AD43" s="22"/>
      <c r="AE43" s="22"/>
      <c r="AF43" s="22"/>
      <c r="AG43" s="22"/>
      <c r="AH43" s="22"/>
    </row>
    <row r="44" customFormat="false" ht="15" hidden="false" customHeight="false" outlineLevel="0" collapsed="false">
      <c r="B44" s="48"/>
      <c r="C44" s="42"/>
      <c r="D44" s="42"/>
      <c r="E44" s="42"/>
      <c r="F44" s="42"/>
      <c r="G44" s="42"/>
      <c r="H44" s="42"/>
      <c r="I44" s="42"/>
      <c r="J44" s="43"/>
    </row>
  </sheetData>
  <mergeCells count="35">
    <mergeCell ref="B2:D2"/>
    <mergeCell ref="E2:K2"/>
    <mergeCell ref="B3:D3"/>
    <mergeCell ref="E3:K3"/>
    <mergeCell ref="B4:D4"/>
    <mergeCell ref="E4:H4"/>
    <mergeCell ref="J4:K4"/>
    <mergeCell ref="D7:G7"/>
    <mergeCell ref="N7:AD7"/>
    <mergeCell ref="D8:G8"/>
    <mergeCell ref="N8:AD8"/>
    <mergeCell ref="N11:N12"/>
    <mergeCell ref="O11:O12"/>
    <mergeCell ref="P11:P12"/>
    <mergeCell ref="T11:T12"/>
    <mergeCell ref="V11:V12"/>
    <mergeCell ref="W11:W12"/>
    <mergeCell ref="X11:X12"/>
    <mergeCell ref="AB11:AB12"/>
    <mergeCell ref="AD11:AD12"/>
    <mergeCell ref="AE11:AE12"/>
    <mergeCell ref="AF11:AF12"/>
    <mergeCell ref="AG11:AG12"/>
    <mergeCell ref="C17:G17"/>
    <mergeCell ref="F19:G19"/>
    <mergeCell ref="F20:G20"/>
    <mergeCell ref="F21:G21"/>
    <mergeCell ref="F22:G22"/>
    <mergeCell ref="F23:G23"/>
    <mergeCell ref="F24:G24"/>
    <mergeCell ref="F25:G25"/>
    <mergeCell ref="C29:G29"/>
    <mergeCell ref="C31:E31"/>
    <mergeCell ref="F31:G31"/>
    <mergeCell ref="H31:I3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LibreOffice/25.2.5.2$Linux_AARCH64 LibreOffice_project/520$Build-2</Application>
  <AppVersion>15.0000</AppVersion>
  <Company>Microsoft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2016-03-02T01:02:48Z</dcterms:created>
  <dc:creator>Ngoc Tran</dc:creator>
  <dc:description/>
  <dc:language>en-US</dc:language>
  <cp:lastModifiedBy/>
  <dcterms:modified xsi:type="dcterms:W3CDTF">2025-10-15T16:06:17Z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