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-Graph-Calc Lens1" sheetId="1" state="visible" r:id="rId3"/>
    <sheet name="Data-Graph-Calc Lens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<sst xmlns="http://schemas.openxmlformats.org/spreadsheetml/2006/main" count="74" uniqueCount="25">
  <si>
    <t xml:space="preserve">Name:</t>
  </si>
  <si>
    <t xml:space="preserve">Delano Leslie</t>
  </si>
  <si>
    <t xml:space="preserve">Partner(s):</t>
  </si>
  <si>
    <t xml:space="preserve">Set, Felipe, Aaron</t>
  </si>
  <si>
    <t xml:space="preserve">Date:</t>
  </si>
  <si>
    <t xml:space="preserve">Table #:</t>
  </si>
  <si>
    <t xml:space="preserve">Orange Lens Distances</t>
  </si>
  <si>
    <t xml:space="preserve">p (cm)</t>
  </si>
  <si>
    <t xml:space="preserve">d (cm)</t>
  </si>
  <si>
    <t xml:space="preserve">q (cm)</t>
  </si>
  <si>
    <r>
      <rPr>
        <sz val="11"/>
        <color theme="1"/>
        <rFont val="Calibri"/>
        <family val="2"/>
        <charset val="1"/>
      </rPr>
      <t xml:space="preserve">p</t>
    </r>
    <r>
      <rPr>
        <vertAlign val="superscript"/>
        <sz val="11"/>
        <color theme="1"/>
        <rFont val="Calibri"/>
        <family val="2"/>
        <charset val="1"/>
      </rPr>
      <t xml:space="preserve">-1</t>
    </r>
    <r>
      <rPr>
        <sz val="11"/>
        <color theme="1"/>
        <rFont val="Calibri"/>
        <family val="2"/>
        <charset val="1"/>
      </rPr>
      <t xml:space="preserve"> (m</t>
    </r>
    <r>
      <rPr>
        <vertAlign val="superscript"/>
        <sz val="11"/>
        <color theme="1"/>
        <rFont val="Calibri"/>
        <family val="2"/>
        <charset val="1"/>
      </rPr>
      <t xml:space="preserve">-1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</si>
  <si>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q</t>
    </r>
    <r>
      <rPr>
        <vertAlign val="superscript"/>
        <sz val="11"/>
        <color theme="1"/>
        <rFont val="Calibri"/>
        <family val="2"/>
        <charset val="1"/>
      </rPr>
      <t xml:space="preserve">-1</t>
    </r>
    <r>
      <rPr>
        <sz val="11"/>
        <color theme="1"/>
        <rFont val="Calibri"/>
        <family val="2"/>
        <charset val="1"/>
      </rPr>
      <t xml:space="preserve"> (m</t>
    </r>
    <r>
      <rPr>
        <vertAlign val="superscript"/>
        <sz val="11"/>
        <color theme="1"/>
        <rFont val="Calibri"/>
        <family val="2"/>
        <charset val="1"/>
      </rPr>
      <t xml:space="preserve">-1</t>
    </r>
    <r>
      <rPr>
        <sz val="11"/>
        <color theme="1"/>
        <rFont val="Calibri"/>
        <family val="2"/>
        <charset val="1"/>
      </rPr>
      <t xml:space="preserve">)</t>
    </r>
  </si>
  <si>
    <t xml:space="preserve">Graph here…</t>
  </si>
  <si>
    <t xml:space="preserve">Calculations</t>
  </si>
  <si>
    <t xml:space="preserve">Calculation of f using y-int</t>
  </si>
  <si>
    <t xml:space="preserve">f</t>
  </si>
  <si>
    <t xml:space="preserve">=</t>
  </si>
  <si>
    <t xml:space="preserve">cm</t>
  </si>
  <si>
    <t xml:space="preserve">Y-int</t>
  </si>
  <si>
    <t xml:space="preserve">Calculation of f using x-int</t>
  </si>
  <si>
    <t xml:space="preserve">(-slope)</t>
  </si>
  <si>
    <t xml:space="preserve">Average of the two results</t>
  </si>
  <si>
    <t xml:space="preserve">(1 – slope) / 2</t>
  </si>
  <si>
    <t xml:space="preserve">(y-int + y-int) / 2</t>
  </si>
  <si>
    <t xml:space="preserve">Green Lens Distance Values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</si>
</sst>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"/>
    <numFmt numFmtId="167" formatCode="@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theme="1"/>
      <name val="Calibri"/>
      <family val="2"/>
      <charset val="1"/>
    </font>
    <font>
      <b val="true"/>
      <i val="true"/>
      <sz val="11"/>
      <color rgb="FFFF0000"/>
      <name val="Calibri"/>
      <family val="2"/>
      <charset val="1"/>
    </font>
    <font>
      <vertAlign val="superscript"/>
      <sz val="11"/>
      <color theme="1"/>
      <name val="Calibri"/>
      <family val="2"/>
      <charset val="1"/>
    </font>
    <font>
      <sz val="24"/>
      <color theme="1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sz val="13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Inverse Object Distance vs Inverse Image Distance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'Data-Graph-Calc Lens1'!$K$9</c:f>
              <c:strCache>
                <c:ptCount val="1"/>
                <c:pt idx="0">
                  <c:v>q-1 (m-1)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Pt>
            <c:idx val="6"/>
            <c:marker>
              <c:symbol val="square"/>
              <c:size val="8"/>
              <c:spPr>
                <a:solidFill>
                  <a:srgbClr val="004586"/>
                </a:solidFill>
              </c:spPr>
            </c:marker>
          </c:dPt>
          <c:dLbls>
            <c:dLbl>
              <c:idx val="6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'Data-Graph-Calc Lens1'!$I$10:$I$16</c:f>
              <c:numCache>
                <c:formatCode>0.00</c:formatCode>
                <c:ptCount val="7"/>
                <c:pt idx="0">
                  <c:v>3.84615384615385</c:v>
                </c:pt>
                <c:pt idx="1">
                  <c:v>3.2258064516129</c:v>
                </c:pt>
                <c:pt idx="2">
                  <c:v>2.77777777777778</c:v>
                </c:pt>
                <c:pt idx="3">
                  <c:v>2.4390243902439</c:v>
                </c:pt>
                <c:pt idx="4">
                  <c:v>2.17391304347826</c:v>
                </c:pt>
                <c:pt idx="5">
                  <c:v>1.96078431372549</c:v>
                </c:pt>
                <c:pt idx="6">
                  <c:v>1.78571428571429</c:v>
                </c:pt>
              </c:numCache>
            </c:numRef>
          </c:xVal>
          <c:yVal>
            <c:numRef>
              <c:f>'Data-Graph-Calc Lens1'!$K$10:$K$16</c:f>
              <c:numCache>
                <c:formatCode>0.00</c:formatCode>
                <c:ptCount val="7"/>
                <c:pt idx="0">
                  <c:v>1.16550116550117</c:v>
                </c:pt>
                <c:pt idx="1">
                  <c:v>1.79533213644524</c:v>
                </c:pt>
                <c:pt idx="2">
                  <c:v>2.25733634311512</c:v>
                </c:pt>
                <c:pt idx="3">
                  <c:v>2.57731958762887</c:v>
                </c:pt>
                <c:pt idx="4">
                  <c:v>2.84900284900285</c:v>
                </c:pt>
                <c:pt idx="5">
                  <c:v>3.03951367781155</c:v>
                </c:pt>
                <c:pt idx="6">
                  <c:v>3.23624595469256</c:v>
                </c:pt>
              </c:numCache>
            </c:numRef>
          </c:yVal>
          <c:smooth val="0"/>
        </c:ser>
        <c:axId val="65285276"/>
        <c:axId val="30853336"/>
      </c:scatterChart>
      <c:valAx>
        <c:axId val="652852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p^-1 (m^-1)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30853336"/>
        <c:crosses val="autoZero"/>
        <c:crossBetween val="between"/>
      </c:valAx>
      <c:valAx>
        <c:axId val="3085333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q^-1 (m^-1)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6528527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Inverse Object Distance vs Inverse Image Distance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'Data-Graph-Calc Lens2'!$K$9</c:f>
              <c:strCache>
                <c:ptCount val="1"/>
                <c:pt idx="0">
                  <c:v>q-1 (m-1)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Pt>
            <c:idx val="6"/>
            <c:marker>
              <c:symbol val="square"/>
              <c:size val="8"/>
              <c:spPr>
                <a:solidFill>
                  <a:srgbClr val="004586"/>
                </a:solidFill>
              </c:spPr>
            </c:marker>
          </c:dPt>
          <c:dLbls>
            <c:dLbl>
              <c:idx val="6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'Data-Graph-Calc Lens2'!$I$10:$I$16</c:f>
              <c:numCache>
                <c:formatCode>0.00</c:formatCode>
                <c:ptCount val="7"/>
                <c:pt idx="0">
                  <c:v>2.5</c:v>
                </c:pt>
                <c:pt idx="1">
                  <c:v>2.32558139534884</c:v>
                </c:pt>
                <c:pt idx="2">
                  <c:v>2.17391304347826</c:v>
                </c:pt>
                <c:pt idx="3">
                  <c:v>2.04081632653061</c:v>
                </c:pt>
                <c:pt idx="4">
                  <c:v>1.92307692307692</c:v>
                </c:pt>
                <c:pt idx="5">
                  <c:v>1.81818181818182</c:v>
                </c:pt>
                <c:pt idx="6">
                  <c:v>1.72413793103448</c:v>
                </c:pt>
              </c:numCache>
            </c:numRef>
          </c:xVal>
          <c:yVal>
            <c:numRef>
              <c:f>'Data-Graph-Calc Lens2'!$K$10:$K$16</c:f>
              <c:numCache>
                <c:formatCode>0.00</c:formatCode>
                <c:ptCount val="7"/>
                <c:pt idx="0">
                  <c:v>1.49253731343284</c:v>
                </c:pt>
                <c:pt idx="1">
                  <c:v>1.66666666666667</c:v>
                </c:pt>
                <c:pt idx="2">
                  <c:v>1.82815356489945</c:v>
                </c:pt>
                <c:pt idx="3">
                  <c:v>1.96078431372549</c:v>
                </c:pt>
                <c:pt idx="4">
                  <c:v>2.10526315789474</c:v>
                </c:pt>
                <c:pt idx="5">
                  <c:v>2.20264317180617</c:v>
                </c:pt>
                <c:pt idx="6">
                  <c:v>2.29885057471264</c:v>
                </c:pt>
              </c:numCache>
            </c:numRef>
          </c:yVal>
          <c:smooth val="0"/>
        </c:ser>
        <c:axId val="82743815"/>
        <c:axId val="21777381"/>
      </c:scatterChart>
      <c:valAx>
        <c:axId val="827438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p^-1 (m^-1)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21777381"/>
        <c:crosses val="autoZero"/>
        <c:crossBetween val="between"/>
      </c:valAx>
      <c:valAx>
        <c:axId val="2177738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q^-1 (m^-1)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82743815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7200</xdr:colOff>
      <xdr:row>18</xdr:row>
      <xdr:rowOff>28440</xdr:rowOff>
    </xdr:from>
    <xdr:to>
      <xdr:col>14</xdr:col>
      <xdr:colOff>506880</xdr:colOff>
      <xdr:row>27</xdr:row>
      <xdr:rowOff>295560</xdr:rowOff>
    </xdr:to>
    <xdr:graphicFrame>
      <xdr:nvGraphicFramePr>
        <xdr:cNvPr id="0" name=""/>
        <xdr:cNvGraphicFramePr/>
      </xdr:nvGraphicFramePr>
      <xdr:xfrm>
        <a:off x="208440" y="4819680"/>
        <a:ext cx="5181120" cy="3353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7200</xdr:colOff>
      <xdr:row>18</xdr:row>
      <xdr:rowOff>28440</xdr:rowOff>
    </xdr:from>
    <xdr:to>
      <xdr:col>14</xdr:col>
      <xdr:colOff>506880</xdr:colOff>
      <xdr:row>27</xdr:row>
      <xdr:rowOff>295560</xdr:rowOff>
    </xdr:to>
    <xdr:graphicFrame>
      <xdr:nvGraphicFramePr>
        <xdr:cNvPr id="1" name=""/>
        <xdr:cNvGraphicFramePr/>
      </xdr:nvGraphicFramePr>
      <xdr:xfrm>
        <a:off x="208440" y="4819680"/>
        <a:ext cx="5181120" cy="3353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42"/>
  <sheetViews>
    <sheetView showFormulas="false" showGridLines="true" showRowColHeaders="true" showZeros="true" rightToLeft="false" tabSelected="true" showOutlineSymbols="true" defaultGridColor="true" view="normal" topLeftCell="A27" colorId="64" zoomScale="100" zoomScaleNormal="100" zoomScalePageLayoutView="100" workbookViewId="0">
      <selection pane="topLeft" activeCell="P39" activeCellId="0" sqref="P3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2"/>
    <col collapsed="false" customWidth="true" hidden="false" outlineLevel="0" max="3" min="3" style="1" width="9.71"/>
    <col collapsed="false" customWidth="true" hidden="false" outlineLevel="0" max="4" min="4" style="1" width="2"/>
    <col collapsed="false" customWidth="true" hidden="false" outlineLevel="0" max="5" min="5" style="1" width="9.71"/>
    <col collapsed="false" customWidth="true" hidden="false" outlineLevel="0" max="6" min="6" style="1" width="2"/>
    <col collapsed="false" customWidth="true" hidden="false" outlineLevel="0" max="7" min="7" style="1" width="9.71"/>
    <col collapsed="false" customWidth="true" hidden="false" outlineLevel="0" max="8" min="8" style="1" width="2"/>
    <col collapsed="false" customWidth="true" hidden="false" outlineLevel="0" max="9" min="9" style="1" width="9.71"/>
    <col collapsed="false" customWidth="true" hidden="false" outlineLevel="0" max="10" min="10" style="1" width="2"/>
    <col collapsed="false" customWidth="true" hidden="false" outlineLevel="0" max="11" min="11" style="1" width="9.71"/>
    <col collapsed="false" customWidth="true" hidden="false" outlineLevel="0" max="12" min="12" style="0" width="2"/>
    <col collapsed="false" customWidth="true" hidden="false" outlineLevel="0" max="13" min="13" style="0" width="3.86"/>
    <col collapsed="false" customWidth="true" hidden="false" outlineLevel="0" max="14" min="14" style="0" width="2"/>
    <col collapsed="false" customWidth="true" hidden="false" outlineLevel="0" max="15" min="15" style="0" width="8.15"/>
    <col collapsed="false" customWidth="true" hidden="false" outlineLevel="0" max="16" min="16" style="0" width="8.57"/>
    <col collapsed="false" customWidth="true" hidden="false" outlineLevel="0" max="213" min="213" style="0" width="2.86"/>
    <col collapsed="false" customWidth="true" hidden="false" outlineLevel="0" max="214" min="214" style="0" width="2"/>
    <col collapsed="false" customWidth="true" hidden="false" outlineLevel="0" max="216" min="216" style="0" width="2"/>
    <col collapsed="false" customWidth="true" hidden="false" outlineLevel="0" max="218" min="218" style="0" width="2"/>
    <col collapsed="false" customWidth="true" hidden="false" outlineLevel="0" max="220" min="220" style="0" width="2"/>
    <col collapsed="false" customWidth="true" hidden="false" outlineLevel="0" max="222" min="222" style="0" width="2"/>
    <col collapsed="false" customWidth="true" hidden="false" outlineLevel="0" max="223" min="223" style="0" width="2.86"/>
    <col collapsed="false" customWidth="true" hidden="false" outlineLevel="0" max="224" min="224" style="0" width="2.42"/>
    <col collapsed="false" customWidth="true" hidden="false" outlineLevel="0" max="226" min="226" style="0" width="2.42"/>
    <col collapsed="false" customWidth="true" hidden="false" outlineLevel="0" max="228" min="228" style="0" width="2.42"/>
    <col collapsed="false" customWidth="true" hidden="false" outlineLevel="0" max="229" min="229" style="0" width="11.71"/>
    <col collapsed="false" customWidth="true" hidden="false" outlineLevel="0" max="230" min="230" style="0" width="2.42"/>
    <col collapsed="false" customWidth="true" hidden="false" outlineLevel="0" max="232" min="232" style="0" width="4.71"/>
    <col collapsed="false" customWidth="true" hidden="false" outlineLevel="0" max="233" min="233" style="0" width="2.42"/>
    <col collapsed="false" customWidth="true" hidden="false" outlineLevel="0" max="234" min="234" style="0" width="4"/>
    <col collapsed="false" customWidth="true" hidden="false" outlineLevel="0" max="235" min="235" style="0" width="2.42"/>
    <col collapsed="false" customWidth="true" hidden="false" outlineLevel="0" max="237" min="237" style="0" width="2.42"/>
    <col collapsed="false" customWidth="true" hidden="false" outlineLevel="0" max="239" min="239" style="0" width="2.42"/>
    <col collapsed="false" customWidth="true" hidden="false" outlineLevel="0" max="240" min="240" style="0" width="11.71"/>
    <col collapsed="false" customWidth="true" hidden="false" outlineLevel="0" max="241" min="241" style="0" width="2.42"/>
    <col collapsed="false" customWidth="true" hidden="false" outlineLevel="0" max="243" min="243" style="0" width="4.71"/>
    <col collapsed="false" customWidth="true" hidden="false" outlineLevel="0" max="244" min="244" style="0" width="2.42"/>
    <col collapsed="false" customWidth="true" hidden="false" outlineLevel="0" max="469" min="469" style="0" width="2.86"/>
    <col collapsed="false" customWidth="true" hidden="false" outlineLevel="0" max="470" min="470" style="0" width="2"/>
    <col collapsed="false" customWidth="true" hidden="false" outlineLevel="0" max="472" min="472" style="0" width="2"/>
    <col collapsed="false" customWidth="true" hidden="false" outlineLevel="0" max="474" min="474" style="0" width="2"/>
    <col collapsed="false" customWidth="true" hidden="false" outlineLevel="0" max="476" min="476" style="0" width="2"/>
    <col collapsed="false" customWidth="true" hidden="false" outlineLevel="0" max="478" min="478" style="0" width="2"/>
    <col collapsed="false" customWidth="true" hidden="false" outlineLevel="0" max="479" min="479" style="0" width="2.86"/>
    <col collapsed="false" customWidth="true" hidden="false" outlineLevel="0" max="480" min="480" style="0" width="2.42"/>
    <col collapsed="false" customWidth="true" hidden="false" outlineLevel="0" max="482" min="482" style="0" width="2.42"/>
    <col collapsed="false" customWidth="true" hidden="false" outlineLevel="0" max="484" min="484" style="0" width="2.42"/>
    <col collapsed="false" customWidth="true" hidden="false" outlineLevel="0" max="485" min="485" style="0" width="11.71"/>
    <col collapsed="false" customWidth="true" hidden="false" outlineLevel="0" max="486" min="486" style="0" width="2.42"/>
    <col collapsed="false" customWidth="true" hidden="false" outlineLevel="0" max="488" min="488" style="0" width="4.71"/>
    <col collapsed="false" customWidth="true" hidden="false" outlineLevel="0" max="489" min="489" style="0" width="2.42"/>
    <col collapsed="false" customWidth="true" hidden="false" outlineLevel="0" max="490" min="490" style="0" width="4"/>
    <col collapsed="false" customWidth="true" hidden="false" outlineLevel="0" max="491" min="491" style="0" width="2.42"/>
    <col collapsed="false" customWidth="true" hidden="false" outlineLevel="0" max="493" min="493" style="0" width="2.42"/>
    <col collapsed="false" customWidth="true" hidden="false" outlineLevel="0" max="495" min="495" style="0" width="2.42"/>
    <col collapsed="false" customWidth="true" hidden="false" outlineLevel="0" max="496" min="496" style="0" width="11.71"/>
    <col collapsed="false" customWidth="true" hidden="false" outlineLevel="0" max="497" min="497" style="0" width="2.42"/>
    <col collapsed="false" customWidth="true" hidden="false" outlineLevel="0" max="499" min="499" style="0" width="4.71"/>
    <col collapsed="false" customWidth="true" hidden="false" outlineLevel="0" max="500" min="500" style="0" width="2.42"/>
    <col collapsed="false" customWidth="true" hidden="false" outlineLevel="0" max="725" min="725" style="0" width="2.86"/>
    <col collapsed="false" customWidth="true" hidden="false" outlineLevel="0" max="726" min="726" style="0" width="2"/>
    <col collapsed="false" customWidth="true" hidden="false" outlineLevel="0" max="728" min="728" style="0" width="2"/>
    <col collapsed="false" customWidth="true" hidden="false" outlineLevel="0" max="730" min="730" style="0" width="2"/>
    <col collapsed="false" customWidth="true" hidden="false" outlineLevel="0" max="732" min="732" style="0" width="2"/>
    <col collapsed="false" customWidth="true" hidden="false" outlineLevel="0" max="734" min="734" style="0" width="2"/>
    <col collapsed="false" customWidth="true" hidden="false" outlineLevel="0" max="735" min="735" style="0" width="2.86"/>
    <col collapsed="false" customWidth="true" hidden="false" outlineLevel="0" max="736" min="736" style="0" width="2.42"/>
    <col collapsed="false" customWidth="true" hidden="false" outlineLevel="0" max="738" min="738" style="0" width="2.42"/>
    <col collapsed="false" customWidth="true" hidden="false" outlineLevel="0" max="740" min="740" style="0" width="2.42"/>
    <col collapsed="false" customWidth="true" hidden="false" outlineLevel="0" max="741" min="741" style="0" width="11.71"/>
    <col collapsed="false" customWidth="true" hidden="false" outlineLevel="0" max="742" min="742" style="0" width="2.42"/>
    <col collapsed="false" customWidth="true" hidden="false" outlineLevel="0" max="744" min="744" style="0" width="4.71"/>
    <col collapsed="false" customWidth="true" hidden="false" outlineLevel="0" max="745" min="745" style="0" width="2.42"/>
    <col collapsed="false" customWidth="true" hidden="false" outlineLevel="0" max="746" min="746" style="0" width="4"/>
    <col collapsed="false" customWidth="true" hidden="false" outlineLevel="0" max="747" min="747" style="0" width="2.42"/>
    <col collapsed="false" customWidth="true" hidden="false" outlineLevel="0" max="749" min="749" style="0" width="2.42"/>
    <col collapsed="false" customWidth="true" hidden="false" outlineLevel="0" max="751" min="751" style="0" width="2.42"/>
    <col collapsed="false" customWidth="true" hidden="false" outlineLevel="0" max="752" min="752" style="0" width="11.71"/>
    <col collapsed="false" customWidth="true" hidden="false" outlineLevel="0" max="753" min="753" style="0" width="2.42"/>
    <col collapsed="false" customWidth="true" hidden="false" outlineLevel="0" max="755" min="755" style="0" width="4.71"/>
    <col collapsed="false" customWidth="true" hidden="false" outlineLevel="0" max="756" min="756" style="0" width="2.42"/>
    <col collapsed="false" customWidth="true" hidden="false" outlineLevel="0" max="981" min="981" style="0" width="2.86"/>
    <col collapsed="false" customWidth="true" hidden="false" outlineLevel="0" max="982" min="982" style="0" width="2"/>
    <col collapsed="false" customWidth="true" hidden="false" outlineLevel="0" max="984" min="984" style="0" width="2"/>
    <col collapsed="false" customWidth="true" hidden="false" outlineLevel="0" max="986" min="986" style="0" width="2"/>
    <col collapsed="false" customWidth="true" hidden="false" outlineLevel="0" max="988" min="988" style="0" width="2"/>
    <col collapsed="false" customWidth="true" hidden="false" outlineLevel="0" max="990" min="990" style="0" width="2"/>
    <col collapsed="false" customWidth="true" hidden="false" outlineLevel="0" max="991" min="991" style="0" width="2.86"/>
    <col collapsed="false" customWidth="true" hidden="false" outlineLevel="0" max="992" min="992" style="0" width="2.42"/>
    <col collapsed="false" customWidth="true" hidden="false" outlineLevel="0" max="994" min="994" style="0" width="2.42"/>
    <col collapsed="false" customWidth="true" hidden="false" outlineLevel="0" max="996" min="996" style="0" width="2.42"/>
    <col collapsed="false" customWidth="true" hidden="false" outlineLevel="0" max="997" min="997" style="0" width="11.71"/>
    <col collapsed="false" customWidth="true" hidden="false" outlineLevel="0" max="998" min="998" style="0" width="2.42"/>
    <col collapsed="false" customWidth="true" hidden="false" outlineLevel="0" max="1000" min="1000" style="0" width="4.71"/>
    <col collapsed="false" customWidth="true" hidden="false" outlineLevel="0" max="1001" min="1001" style="0" width="2.42"/>
    <col collapsed="false" customWidth="true" hidden="false" outlineLevel="0" max="1002" min="1002" style="0" width="4"/>
    <col collapsed="false" customWidth="true" hidden="false" outlineLevel="0" max="1003" min="1003" style="0" width="2.42"/>
    <col collapsed="false" customWidth="true" hidden="false" outlineLevel="0" max="1005" min="1005" style="0" width="2.42"/>
    <col collapsed="false" customWidth="true" hidden="false" outlineLevel="0" max="1007" min="1007" style="0" width="2.42"/>
    <col collapsed="false" customWidth="true" hidden="false" outlineLevel="0" max="1008" min="1008" style="0" width="11.71"/>
    <col collapsed="false" customWidth="true" hidden="false" outlineLevel="0" max="1009" min="1009" style="0" width="2.42"/>
    <col collapsed="false" customWidth="true" hidden="false" outlineLevel="0" max="1011" min="1011" style="0" width="4.71"/>
    <col collapsed="false" customWidth="true" hidden="false" outlineLevel="0" max="1012" min="1012" style="0" width="2.42"/>
    <col collapsed="false" customWidth="true" hidden="false" outlineLevel="0" max="1237" min="1237" style="0" width="2.86"/>
    <col collapsed="false" customWidth="true" hidden="false" outlineLevel="0" max="1238" min="1238" style="0" width="2"/>
    <col collapsed="false" customWidth="true" hidden="false" outlineLevel="0" max="1240" min="1240" style="0" width="2"/>
    <col collapsed="false" customWidth="true" hidden="false" outlineLevel="0" max="1242" min="1242" style="0" width="2"/>
    <col collapsed="false" customWidth="true" hidden="false" outlineLevel="0" max="1244" min="1244" style="0" width="2"/>
    <col collapsed="false" customWidth="true" hidden="false" outlineLevel="0" max="1246" min="1246" style="0" width="2"/>
    <col collapsed="false" customWidth="true" hidden="false" outlineLevel="0" max="1247" min="1247" style="0" width="2.86"/>
    <col collapsed="false" customWidth="true" hidden="false" outlineLevel="0" max="1248" min="1248" style="0" width="2.42"/>
    <col collapsed="false" customWidth="true" hidden="false" outlineLevel="0" max="1250" min="1250" style="0" width="2.42"/>
    <col collapsed="false" customWidth="true" hidden="false" outlineLevel="0" max="1252" min="1252" style="0" width="2.42"/>
    <col collapsed="false" customWidth="true" hidden="false" outlineLevel="0" max="1253" min="1253" style="0" width="11.71"/>
    <col collapsed="false" customWidth="true" hidden="false" outlineLevel="0" max="1254" min="1254" style="0" width="2.42"/>
    <col collapsed="false" customWidth="true" hidden="false" outlineLevel="0" max="1256" min="1256" style="0" width="4.71"/>
    <col collapsed="false" customWidth="true" hidden="false" outlineLevel="0" max="1257" min="1257" style="0" width="2.42"/>
    <col collapsed="false" customWidth="true" hidden="false" outlineLevel="0" max="1258" min="1258" style="0" width="4"/>
    <col collapsed="false" customWidth="true" hidden="false" outlineLevel="0" max="1259" min="1259" style="0" width="2.42"/>
    <col collapsed="false" customWidth="true" hidden="false" outlineLevel="0" max="1261" min="1261" style="0" width="2.42"/>
    <col collapsed="false" customWidth="true" hidden="false" outlineLevel="0" max="1263" min="1263" style="0" width="2.42"/>
    <col collapsed="false" customWidth="true" hidden="false" outlineLevel="0" max="1264" min="1264" style="0" width="11.71"/>
    <col collapsed="false" customWidth="true" hidden="false" outlineLevel="0" max="1265" min="1265" style="0" width="2.42"/>
    <col collapsed="false" customWidth="true" hidden="false" outlineLevel="0" max="1267" min="1267" style="0" width="4.71"/>
    <col collapsed="false" customWidth="true" hidden="false" outlineLevel="0" max="1268" min="1268" style="0" width="2.42"/>
    <col collapsed="false" customWidth="true" hidden="false" outlineLevel="0" max="1493" min="1493" style="0" width="2.86"/>
    <col collapsed="false" customWidth="true" hidden="false" outlineLevel="0" max="1494" min="1494" style="0" width="2"/>
    <col collapsed="false" customWidth="true" hidden="false" outlineLevel="0" max="1496" min="1496" style="0" width="2"/>
    <col collapsed="false" customWidth="true" hidden="false" outlineLevel="0" max="1498" min="1498" style="0" width="2"/>
    <col collapsed="false" customWidth="true" hidden="false" outlineLevel="0" max="1500" min="1500" style="0" width="2"/>
    <col collapsed="false" customWidth="true" hidden="false" outlineLevel="0" max="1502" min="1502" style="0" width="2"/>
    <col collapsed="false" customWidth="true" hidden="false" outlineLevel="0" max="1503" min="1503" style="0" width="2.86"/>
    <col collapsed="false" customWidth="true" hidden="false" outlineLevel="0" max="1504" min="1504" style="0" width="2.42"/>
    <col collapsed="false" customWidth="true" hidden="false" outlineLevel="0" max="1506" min="1506" style="0" width="2.42"/>
    <col collapsed="false" customWidth="true" hidden="false" outlineLevel="0" max="1508" min="1508" style="0" width="2.42"/>
    <col collapsed="false" customWidth="true" hidden="false" outlineLevel="0" max="1509" min="1509" style="0" width="11.71"/>
    <col collapsed="false" customWidth="true" hidden="false" outlineLevel="0" max="1510" min="1510" style="0" width="2.42"/>
    <col collapsed="false" customWidth="true" hidden="false" outlineLevel="0" max="1512" min="1512" style="0" width="4.71"/>
    <col collapsed="false" customWidth="true" hidden="false" outlineLevel="0" max="1513" min="1513" style="0" width="2.42"/>
    <col collapsed="false" customWidth="true" hidden="false" outlineLevel="0" max="1514" min="1514" style="0" width="4"/>
    <col collapsed="false" customWidth="true" hidden="false" outlineLevel="0" max="1515" min="1515" style="0" width="2.42"/>
    <col collapsed="false" customWidth="true" hidden="false" outlineLevel="0" max="1517" min="1517" style="0" width="2.42"/>
    <col collapsed="false" customWidth="true" hidden="false" outlineLevel="0" max="1519" min="1519" style="0" width="2.42"/>
    <col collapsed="false" customWidth="true" hidden="false" outlineLevel="0" max="1520" min="1520" style="0" width="11.71"/>
    <col collapsed="false" customWidth="true" hidden="false" outlineLevel="0" max="1521" min="1521" style="0" width="2.42"/>
    <col collapsed="false" customWidth="true" hidden="false" outlineLevel="0" max="1523" min="1523" style="0" width="4.71"/>
    <col collapsed="false" customWidth="true" hidden="false" outlineLevel="0" max="1524" min="1524" style="0" width="2.42"/>
    <col collapsed="false" customWidth="true" hidden="false" outlineLevel="0" max="1749" min="1749" style="0" width="2.86"/>
    <col collapsed="false" customWidth="true" hidden="false" outlineLevel="0" max="1750" min="1750" style="0" width="2"/>
    <col collapsed="false" customWidth="true" hidden="false" outlineLevel="0" max="1752" min="1752" style="0" width="2"/>
    <col collapsed="false" customWidth="true" hidden="false" outlineLevel="0" max="1754" min="1754" style="0" width="2"/>
    <col collapsed="false" customWidth="true" hidden="false" outlineLevel="0" max="1756" min="1756" style="0" width="2"/>
    <col collapsed="false" customWidth="true" hidden="false" outlineLevel="0" max="1758" min="1758" style="0" width="2"/>
    <col collapsed="false" customWidth="true" hidden="false" outlineLevel="0" max="1759" min="1759" style="0" width="2.86"/>
    <col collapsed="false" customWidth="true" hidden="false" outlineLevel="0" max="1760" min="1760" style="0" width="2.42"/>
    <col collapsed="false" customWidth="true" hidden="false" outlineLevel="0" max="1762" min="1762" style="0" width="2.42"/>
    <col collapsed="false" customWidth="true" hidden="false" outlineLevel="0" max="1764" min="1764" style="0" width="2.42"/>
    <col collapsed="false" customWidth="true" hidden="false" outlineLevel="0" max="1765" min="1765" style="0" width="11.71"/>
    <col collapsed="false" customWidth="true" hidden="false" outlineLevel="0" max="1766" min="1766" style="0" width="2.42"/>
    <col collapsed="false" customWidth="true" hidden="false" outlineLevel="0" max="1768" min="1768" style="0" width="4.71"/>
    <col collapsed="false" customWidth="true" hidden="false" outlineLevel="0" max="1769" min="1769" style="0" width="2.42"/>
    <col collapsed="false" customWidth="true" hidden="false" outlineLevel="0" max="1770" min="1770" style="0" width="4"/>
    <col collapsed="false" customWidth="true" hidden="false" outlineLevel="0" max="1771" min="1771" style="0" width="2.42"/>
    <col collapsed="false" customWidth="true" hidden="false" outlineLevel="0" max="1773" min="1773" style="0" width="2.42"/>
    <col collapsed="false" customWidth="true" hidden="false" outlineLevel="0" max="1775" min="1775" style="0" width="2.42"/>
    <col collapsed="false" customWidth="true" hidden="false" outlineLevel="0" max="1776" min="1776" style="0" width="11.71"/>
    <col collapsed="false" customWidth="true" hidden="false" outlineLevel="0" max="1777" min="1777" style="0" width="2.42"/>
    <col collapsed="false" customWidth="true" hidden="false" outlineLevel="0" max="1779" min="1779" style="0" width="4.71"/>
    <col collapsed="false" customWidth="true" hidden="false" outlineLevel="0" max="1780" min="1780" style="0" width="2.42"/>
    <col collapsed="false" customWidth="true" hidden="false" outlineLevel="0" max="2005" min="2005" style="0" width="2.86"/>
    <col collapsed="false" customWidth="true" hidden="false" outlineLevel="0" max="2006" min="2006" style="0" width="2"/>
    <col collapsed="false" customWidth="true" hidden="false" outlineLevel="0" max="2008" min="2008" style="0" width="2"/>
    <col collapsed="false" customWidth="true" hidden="false" outlineLevel="0" max="2010" min="2010" style="0" width="2"/>
    <col collapsed="false" customWidth="true" hidden="false" outlineLevel="0" max="2012" min="2012" style="0" width="2"/>
    <col collapsed="false" customWidth="true" hidden="false" outlineLevel="0" max="2014" min="2014" style="0" width="2"/>
    <col collapsed="false" customWidth="true" hidden="false" outlineLevel="0" max="2015" min="2015" style="0" width="2.86"/>
    <col collapsed="false" customWidth="true" hidden="false" outlineLevel="0" max="2016" min="2016" style="0" width="2.42"/>
    <col collapsed="false" customWidth="true" hidden="false" outlineLevel="0" max="2018" min="2018" style="0" width="2.42"/>
    <col collapsed="false" customWidth="true" hidden="false" outlineLevel="0" max="2020" min="2020" style="0" width="2.42"/>
    <col collapsed="false" customWidth="true" hidden="false" outlineLevel="0" max="2021" min="2021" style="0" width="11.71"/>
    <col collapsed="false" customWidth="true" hidden="false" outlineLevel="0" max="2022" min="2022" style="0" width="2.42"/>
    <col collapsed="false" customWidth="true" hidden="false" outlineLevel="0" max="2024" min="2024" style="0" width="4.71"/>
    <col collapsed="false" customWidth="true" hidden="false" outlineLevel="0" max="2025" min="2025" style="0" width="2.42"/>
    <col collapsed="false" customWidth="true" hidden="false" outlineLevel="0" max="2026" min="2026" style="0" width="4"/>
    <col collapsed="false" customWidth="true" hidden="false" outlineLevel="0" max="2027" min="2027" style="0" width="2.42"/>
    <col collapsed="false" customWidth="true" hidden="false" outlineLevel="0" max="2029" min="2029" style="0" width="2.42"/>
    <col collapsed="false" customWidth="true" hidden="false" outlineLevel="0" max="2031" min="2031" style="0" width="2.42"/>
    <col collapsed="false" customWidth="true" hidden="false" outlineLevel="0" max="2032" min="2032" style="0" width="11.71"/>
    <col collapsed="false" customWidth="true" hidden="false" outlineLevel="0" max="2033" min="2033" style="0" width="2.42"/>
    <col collapsed="false" customWidth="true" hidden="false" outlineLevel="0" max="2035" min="2035" style="0" width="4.71"/>
    <col collapsed="false" customWidth="true" hidden="false" outlineLevel="0" max="2036" min="2036" style="0" width="2.42"/>
    <col collapsed="false" customWidth="true" hidden="false" outlineLevel="0" max="2261" min="2261" style="0" width="2.86"/>
    <col collapsed="false" customWidth="true" hidden="false" outlineLevel="0" max="2262" min="2262" style="0" width="2"/>
    <col collapsed="false" customWidth="true" hidden="false" outlineLevel="0" max="2264" min="2264" style="0" width="2"/>
    <col collapsed="false" customWidth="true" hidden="false" outlineLevel="0" max="2266" min="2266" style="0" width="2"/>
    <col collapsed="false" customWidth="true" hidden="false" outlineLevel="0" max="2268" min="2268" style="0" width="2"/>
    <col collapsed="false" customWidth="true" hidden="false" outlineLevel="0" max="2270" min="2270" style="0" width="2"/>
    <col collapsed="false" customWidth="true" hidden="false" outlineLevel="0" max="2271" min="2271" style="0" width="2.86"/>
    <col collapsed="false" customWidth="true" hidden="false" outlineLevel="0" max="2272" min="2272" style="0" width="2.42"/>
    <col collapsed="false" customWidth="true" hidden="false" outlineLevel="0" max="2274" min="2274" style="0" width="2.42"/>
    <col collapsed="false" customWidth="true" hidden="false" outlineLevel="0" max="2276" min="2276" style="0" width="2.42"/>
    <col collapsed="false" customWidth="true" hidden="false" outlineLevel="0" max="2277" min="2277" style="0" width="11.71"/>
    <col collapsed="false" customWidth="true" hidden="false" outlineLevel="0" max="2278" min="2278" style="0" width="2.42"/>
    <col collapsed="false" customWidth="true" hidden="false" outlineLevel="0" max="2280" min="2280" style="0" width="4.71"/>
    <col collapsed="false" customWidth="true" hidden="false" outlineLevel="0" max="2281" min="2281" style="0" width="2.42"/>
    <col collapsed="false" customWidth="true" hidden="false" outlineLevel="0" max="2282" min="2282" style="0" width="4"/>
    <col collapsed="false" customWidth="true" hidden="false" outlineLevel="0" max="2283" min="2283" style="0" width="2.42"/>
    <col collapsed="false" customWidth="true" hidden="false" outlineLevel="0" max="2285" min="2285" style="0" width="2.42"/>
    <col collapsed="false" customWidth="true" hidden="false" outlineLevel="0" max="2287" min="2287" style="0" width="2.42"/>
    <col collapsed="false" customWidth="true" hidden="false" outlineLevel="0" max="2288" min="2288" style="0" width="11.71"/>
    <col collapsed="false" customWidth="true" hidden="false" outlineLevel="0" max="2289" min="2289" style="0" width="2.42"/>
    <col collapsed="false" customWidth="true" hidden="false" outlineLevel="0" max="2291" min="2291" style="0" width="4.71"/>
    <col collapsed="false" customWidth="true" hidden="false" outlineLevel="0" max="2292" min="2292" style="0" width="2.42"/>
    <col collapsed="false" customWidth="true" hidden="false" outlineLevel="0" max="2517" min="2517" style="0" width="2.86"/>
    <col collapsed="false" customWidth="true" hidden="false" outlineLevel="0" max="2518" min="2518" style="0" width="2"/>
    <col collapsed="false" customWidth="true" hidden="false" outlineLevel="0" max="2520" min="2520" style="0" width="2"/>
    <col collapsed="false" customWidth="true" hidden="false" outlineLevel="0" max="2522" min="2522" style="0" width="2"/>
    <col collapsed="false" customWidth="true" hidden="false" outlineLevel="0" max="2524" min="2524" style="0" width="2"/>
    <col collapsed="false" customWidth="true" hidden="false" outlineLevel="0" max="2526" min="2526" style="0" width="2"/>
    <col collapsed="false" customWidth="true" hidden="false" outlineLevel="0" max="2527" min="2527" style="0" width="2.86"/>
    <col collapsed="false" customWidth="true" hidden="false" outlineLevel="0" max="2528" min="2528" style="0" width="2.42"/>
    <col collapsed="false" customWidth="true" hidden="false" outlineLevel="0" max="2530" min="2530" style="0" width="2.42"/>
    <col collapsed="false" customWidth="true" hidden="false" outlineLevel="0" max="2532" min="2532" style="0" width="2.42"/>
    <col collapsed="false" customWidth="true" hidden="false" outlineLevel="0" max="2533" min="2533" style="0" width="11.71"/>
    <col collapsed="false" customWidth="true" hidden="false" outlineLevel="0" max="2534" min="2534" style="0" width="2.42"/>
    <col collapsed="false" customWidth="true" hidden="false" outlineLevel="0" max="2536" min="2536" style="0" width="4.71"/>
    <col collapsed="false" customWidth="true" hidden="false" outlineLevel="0" max="2537" min="2537" style="0" width="2.42"/>
    <col collapsed="false" customWidth="true" hidden="false" outlineLevel="0" max="2538" min="2538" style="0" width="4"/>
    <col collapsed="false" customWidth="true" hidden="false" outlineLevel="0" max="2539" min="2539" style="0" width="2.42"/>
    <col collapsed="false" customWidth="true" hidden="false" outlineLevel="0" max="2541" min="2541" style="0" width="2.42"/>
    <col collapsed="false" customWidth="true" hidden="false" outlineLevel="0" max="2543" min="2543" style="0" width="2.42"/>
    <col collapsed="false" customWidth="true" hidden="false" outlineLevel="0" max="2544" min="2544" style="0" width="11.71"/>
    <col collapsed="false" customWidth="true" hidden="false" outlineLevel="0" max="2545" min="2545" style="0" width="2.42"/>
    <col collapsed="false" customWidth="true" hidden="false" outlineLevel="0" max="2547" min="2547" style="0" width="4.71"/>
    <col collapsed="false" customWidth="true" hidden="false" outlineLevel="0" max="2548" min="2548" style="0" width="2.42"/>
    <col collapsed="false" customWidth="true" hidden="false" outlineLevel="0" max="2773" min="2773" style="0" width="2.86"/>
    <col collapsed="false" customWidth="true" hidden="false" outlineLevel="0" max="2774" min="2774" style="0" width="2"/>
    <col collapsed="false" customWidth="true" hidden="false" outlineLevel="0" max="2776" min="2776" style="0" width="2"/>
    <col collapsed="false" customWidth="true" hidden="false" outlineLevel="0" max="2778" min="2778" style="0" width="2"/>
    <col collapsed="false" customWidth="true" hidden="false" outlineLevel="0" max="2780" min="2780" style="0" width="2"/>
    <col collapsed="false" customWidth="true" hidden="false" outlineLevel="0" max="2782" min="2782" style="0" width="2"/>
    <col collapsed="false" customWidth="true" hidden="false" outlineLevel="0" max="2783" min="2783" style="0" width="2.86"/>
    <col collapsed="false" customWidth="true" hidden="false" outlineLevel="0" max="2784" min="2784" style="0" width="2.42"/>
    <col collapsed="false" customWidth="true" hidden="false" outlineLevel="0" max="2786" min="2786" style="0" width="2.42"/>
    <col collapsed="false" customWidth="true" hidden="false" outlineLevel="0" max="2788" min="2788" style="0" width="2.42"/>
    <col collapsed="false" customWidth="true" hidden="false" outlineLevel="0" max="2789" min="2789" style="0" width="11.71"/>
    <col collapsed="false" customWidth="true" hidden="false" outlineLevel="0" max="2790" min="2790" style="0" width="2.42"/>
    <col collapsed="false" customWidth="true" hidden="false" outlineLevel="0" max="2792" min="2792" style="0" width="4.71"/>
    <col collapsed="false" customWidth="true" hidden="false" outlineLevel="0" max="2793" min="2793" style="0" width="2.42"/>
    <col collapsed="false" customWidth="true" hidden="false" outlineLevel="0" max="2794" min="2794" style="0" width="4"/>
    <col collapsed="false" customWidth="true" hidden="false" outlineLevel="0" max="2795" min="2795" style="0" width="2.42"/>
    <col collapsed="false" customWidth="true" hidden="false" outlineLevel="0" max="2797" min="2797" style="0" width="2.42"/>
    <col collapsed="false" customWidth="true" hidden="false" outlineLevel="0" max="2799" min="2799" style="0" width="2.42"/>
    <col collapsed="false" customWidth="true" hidden="false" outlineLevel="0" max="2800" min="2800" style="0" width="11.71"/>
    <col collapsed="false" customWidth="true" hidden="false" outlineLevel="0" max="2801" min="2801" style="0" width="2.42"/>
    <col collapsed="false" customWidth="true" hidden="false" outlineLevel="0" max="2803" min="2803" style="0" width="4.71"/>
    <col collapsed="false" customWidth="true" hidden="false" outlineLevel="0" max="2804" min="2804" style="0" width="2.42"/>
    <col collapsed="false" customWidth="true" hidden="false" outlineLevel="0" max="3029" min="3029" style="0" width="2.86"/>
    <col collapsed="false" customWidth="true" hidden="false" outlineLevel="0" max="3030" min="3030" style="0" width="2"/>
    <col collapsed="false" customWidth="true" hidden="false" outlineLevel="0" max="3032" min="3032" style="0" width="2"/>
    <col collapsed="false" customWidth="true" hidden="false" outlineLevel="0" max="3034" min="3034" style="0" width="2"/>
    <col collapsed="false" customWidth="true" hidden="false" outlineLevel="0" max="3036" min="3036" style="0" width="2"/>
    <col collapsed="false" customWidth="true" hidden="false" outlineLevel="0" max="3038" min="3038" style="0" width="2"/>
    <col collapsed="false" customWidth="true" hidden="false" outlineLevel="0" max="3039" min="3039" style="0" width="2.86"/>
    <col collapsed="false" customWidth="true" hidden="false" outlineLevel="0" max="3040" min="3040" style="0" width="2.42"/>
    <col collapsed="false" customWidth="true" hidden="false" outlineLevel="0" max="3042" min="3042" style="0" width="2.42"/>
    <col collapsed="false" customWidth="true" hidden="false" outlineLevel="0" max="3044" min="3044" style="0" width="2.42"/>
    <col collapsed="false" customWidth="true" hidden="false" outlineLevel="0" max="3045" min="3045" style="0" width="11.71"/>
    <col collapsed="false" customWidth="true" hidden="false" outlineLevel="0" max="3046" min="3046" style="0" width="2.42"/>
    <col collapsed="false" customWidth="true" hidden="false" outlineLevel="0" max="3048" min="3048" style="0" width="4.71"/>
    <col collapsed="false" customWidth="true" hidden="false" outlineLevel="0" max="3049" min="3049" style="0" width="2.42"/>
    <col collapsed="false" customWidth="true" hidden="false" outlineLevel="0" max="3050" min="3050" style="0" width="4"/>
    <col collapsed="false" customWidth="true" hidden="false" outlineLevel="0" max="3051" min="3051" style="0" width="2.42"/>
    <col collapsed="false" customWidth="true" hidden="false" outlineLevel="0" max="3053" min="3053" style="0" width="2.42"/>
    <col collapsed="false" customWidth="true" hidden="false" outlineLevel="0" max="3055" min="3055" style="0" width="2.42"/>
    <col collapsed="false" customWidth="true" hidden="false" outlineLevel="0" max="3056" min="3056" style="0" width="11.71"/>
    <col collapsed="false" customWidth="true" hidden="false" outlineLevel="0" max="3057" min="3057" style="0" width="2.42"/>
    <col collapsed="false" customWidth="true" hidden="false" outlineLevel="0" max="3059" min="3059" style="0" width="4.71"/>
    <col collapsed="false" customWidth="true" hidden="false" outlineLevel="0" max="3060" min="3060" style="0" width="2.42"/>
    <col collapsed="false" customWidth="true" hidden="false" outlineLevel="0" max="3285" min="3285" style="0" width="2.86"/>
    <col collapsed="false" customWidth="true" hidden="false" outlineLevel="0" max="3286" min="3286" style="0" width="2"/>
    <col collapsed="false" customWidth="true" hidden="false" outlineLevel="0" max="3288" min="3288" style="0" width="2"/>
    <col collapsed="false" customWidth="true" hidden="false" outlineLevel="0" max="3290" min="3290" style="0" width="2"/>
    <col collapsed="false" customWidth="true" hidden="false" outlineLevel="0" max="3292" min="3292" style="0" width="2"/>
    <col collapsed="false" customWidth="true" hidden="false" outlineLevel="0" max="3294" min="3294" style="0" width="2"/>
    <col collapsed="false" customWidth="true" hidden="false" outlineLevel="0" max="3295" min="3295" style="0" width="2.86"/>
    <col collapsed="false" customWidth="true" hidden="false" outlineLevel="0" max="3296" min="3296" style="0" width="2.42"/>
    <col collapsed="false" customWidth="true" hidden="false" outlineLevel="0" max="3298" min="3298" style="0" width="2.42"/>
    <col collapsed="false" customWidth="true" hidden="false" outlineLevel="0" max="3300" min="3300" style="0" width="2.42"/>
    <col collapsed="false" customWidth="true" hidden="false" outlineLevel="0" max="3301" min="3301" style="0" width="11.71"/>
    <col collapsed="false" customWidth="true" hidden="false" outlineLevel="0" max="3302" min="3302" style="0" width="2.42"/>
    <col collapsed="false" customWidth="true" hidden="false" outlineLevel="0" max="3304" min="3304" style="0" width="4.71"/>
    <col collapsed="false" customWidth="true" hidden="false" outlineLevel="0" max="3305" min="3305" style="0" width="2.42"/>
    <col collapsed="false" customWidth="true" hidden="false" outlineLevel="0" max="3306" min="3306" style="0" width="4"/>
    <col collapsed="false" customWidth="true" hidden="false" outlineLevel="0" max="3307" min="3307" style="0" width="2.42"/>
    <col collapsed="false" customWidth="true" hidden="false" outlineLevel="0" max="3309" min="3309" style="0" width="2.42"/>
    <col collapsed="false" customWidth="true" hidden="false" outlineLevel="0" max="3311" min="3311" style="0" width="2.42"/>
    <col collapsed="false" customWidth="true" hidden="false" outlineLevel="0" max="3312" min="3312" style="0" width="11.71"/>
    <col collapsed="false" customWidth="true" hidden="false" outlineLevel="0" max="3313" min="3313" style="0" width="2.42"/>
    <col collapsed="false" customWidth="true" hidden="false" outlineLevel="0" max="3315" min="3315" style="0" width="4.71"/>
    <col collapsed="false" customWidth="true" hidden="false" outlineLevel="0" max="3316" min="3316" style="0" width="2.42"/>
    <col collapsed="false" customWidth="true" hidden="false" outlineLevel="0" max="3541" min="3541" style="0" width="2.86"/>
    <col collapsed="false" customWidth="true" hidden="false" outlineLevel="0" max="3542" min="3542" style="0" width="2"/>
    <col collapsed="false" customWidth="true" hidden="false" outlineLevel="0" max="3544" min="3544" style="0" width="2"/>
    <col collapsed="false" customWidth="true" hidden="false" outlineLevel="0" max="3546" min="3546" style="0" width="2"/>
    <col collapsed="false" customWidth="true" hidden="false" outlineLevel="0" max="3548" min="3548" style="0" width="2"/>
    <col collapsed="false" customWidth="true" hidden="false" outlineLevel="0" max="3550" min="3550" style="0" width="2"/>
    <col collapsed="false" customWidth="true" hidden="false" outlineLevel="0" max="3551" min="3551" style="0" width="2.86"/>
    <col collapsed="false" customWidth="true" hidden="false" outlineLevel="0" max="3552" min="3552" style="0" width="2.42"/>
    <col collapsed="false" customWidth="true" hidden="false" outlineLevel="0" max="3554" min="3554" style="0" width="2.42"/>
    <col collapsed="false" customWidth="true" hidden="false" outlineLevel="0" max="3556" min="3556" style="0" width="2.42"/>
    <col collapsed="false" customWidth="true" hidden="false" outlineLevel="0" max="3557" min="3557" style="0" width="11.71"/>
    <col collapsed="false" customWidth="true" hidden="false" outlineLevel="0" max="3558" min="3558" style="0" width="2.42"/>
    <col collapsed="false" customWidth="true" hidden="false" outlineLevel="0" max="3560" min="3560" style="0" width="4.71"/>
    <col collapsed="false" customWidth="true" hidden="false" outlineLevel="0" max="3561" min="3561" style="0" width="2.42"/>
    <col collapsed="false" customWidth="true" hidden="false" outlineLevel="0" max="3562" min="3562" style="0" width="4"/>
    <col collapsed="false" customWidth="true" hidden="false" outlineLevel="0" max="3563" min="3563" style="0" width="2.42"/>
    <col collapsed="false" customWidth="true" hidden="false" outlineLevel="0" max="3565" min="3565" style="0" width="2.42"/>
    <col collapsed="false" customWidth="true" hidden="false" outlineLevel="0" max="3567" min="3567" style="0" width="2.42"/>
    <col collapsed="false" customWidth="true" hidden="false" outlineLevel="0" max="3568" min="3568" style="0" width="11.71"/>
    <col collapsed="false" customWidth="true" hidden="false" outlineLevel="0" max="3569" min="3569" style="0" width="2.42"/>
    <col collapsed="false" customWidth="true" hidden="false" outlineLevel="0" max="3571" min="3571" style="0" width="4.71"/>
    <col collapsed="false" customWidth="true" hidden="false" outlineLevel="0" max="3572" min="3572" style="0" width="2.42"/>
    <col collapsed="false" customWidth="true" hidden="false" outlineLevel="0" max="3797" min="3797" style="0" width="2.86"/>
    <col collapsed="false" customWidth="true" hidden="false" outlineLevel="0" max="3798" min="3798" style="0" width="2"/>
    <col collapsed="false" customWidth="true" hidden="false" outlineLevel="0" max="3800" min="3800" style="0" width="2"/>
    <col collapsed="false" customWidth="true" hidden="false" outlineLevel="0" max="3802" min="3802" style="0" width="2"/>
    <col collapsed="false" customWidth="true" hidden="false" outlineLevel="0" max="3804" min="3804" style="0" width="2"/>
    <col collapsed="false" customWidth="true" hidden="false" outlineLevel="0" max="3806" min="3806" style="0" width="2"/>
    <col collapsed="false" customWidth="true" hidden="false" outlineLevel="0" max="3807" min="3807" style="0" width="2.86"/>
    <col collapsed="false" customWidth="true" hidden="false" outlineLevel="0" max="3808" min="3808" style="0" width="2.42"/>
    <col collapsed="false" customWidth="true" hidden="false" outlineLevel="0" max="3810" min="3810" style="0" width="2.42"/>
    <col collapsed="false" customWidth="true" hidden="false" outlineLevel="0" max="3812" min="3812" style="0" width="2.42"/>
    <col collapsed="false" customWidth="true" hidden="false" outlineLevel="0" max="3813" min="3813" style="0" width="11.71"/>
    <col collapsed="false" customWidth="true" hidden="false" outlineLevel="0" max="3814" min="3814" style="0" width="2.42"/>
    <col collapsed="false" customWidth="true" hidden="false" outlineLevel="0" max="3816" min="3816" style="0" width="4.71"/>
    <col collapsed="false" customWidth="true" hidden="false" outlineLevel="0" max="3817" min="3817" style="0" width="2.42"/>
    <col collapsed="false" customWidth="true" hidden="false" outlineLevel="0" max="3818" min="3818" style="0" width="4"/>
    <col collapsed="false" customWidth="true" hidden="false" outlineLevel="0" max="3819" min="3819" style="0" width="2.42"/>
    <col collapsed="false" customWidth="true" hidden="false" outlineLevel="0" max="3821" min="3821" style="0" width="2.42"/>
    <col collapsed="false" customWidth="true" hidden="false" outlineLevel="0" max="3823" min="3823" style="0" width="2.42"/>
    <col collapsed="false" customWidth="true" hidden="false" outlineLevel="0" max="3824" min="3824" style="0" width="11.71"/>
    <col collapsed="false" customWidth="true" hidden="false" outlineLevel="0" max="3825" min="3825" style="0" width="2.42"/>
    <col collapsed="false" customWidth="true" hidden="false" outlineLevel="0" max="3827" min="3827" style="0" width="4.71"/>
    <col collapsed="false" customWidth="true" hidden="false" outlineLevel="0" max="3828" min="3828" style="0" width="2.42"/>
    <col collapsed="false" customWidth="true" hidden="false" outlineLevel="0" max="4053" min="4053" style="0" width="2.86"/>
    <col collapsed="false" customWidth="true" hidden="false" outlineLevel="0" max="4054" min="4054" style="0" width="2"/>
    <col collapsed="false" customWidth="true" hidden="false" outlineLevel="0" max="4056" min="4056" style="0" width="2"/>
    <col collapsed="false" customWidth="true" hidden="false" outlineLevel="0" max="4058" min="4058" style="0" width="2"/>
    <col collapsed="false" customWidth="true" hidden="false" outlineLevel="0" max="4060" min="4060" style="0" width="2"/>
    <col collapsed="false" customWidth="true" hidden="false" outlineLevel="0" max="4062" min="4062" style="0" width="2"/>
    <col collapsed="false" customWidth="true" hidden="false" outlineLevel="0" max="4063" min="4063" style="0" width="2.86"/>
    <col collapsed="false" customWidth="true" hidden="false" outlineLevel="0" max="4064" min="4064" style="0" width="2.42"/>
    <col collapsed="false" customWidth="true" hidden="false" outlineLevel="0" max="4066" min="4066" style="0" width="2.42"/>
    <col collapsed="false" customWidth="true" hidden="false" outlineLevel="0" max="4068" min="4068" style="0" width="2.42"/>
    <col collapsed="false" customWidth="true" hidden="false" outlineLevel="0" max="4069" min="4069" style="0" width="11.71"/>
    <col collapsed="false" customWidth="true" hidden="false" outlineLevel="0" max="4070" min="4070" style="0" width="2.42"/>
    <col collapsed="false" customWidth="true" hidden="false" outlineLevel="0" max="4072" min="4072" style="0" width="4.71"/>
    <col collapsed="false" customWidth="true" hidden="false" outlineLevel="0" max="4073" min="4073" style="0" width="2.42"/>
    <col collapsed="false" customWidth="true" hidden="false" outlineLevel="0" max="4074" min="4074" style="0" width="4"/>
    <col collapsed="false" customWidth="true" hidden="false" outlineLevel="0" max="4075" min="4075" style="0" width="2.42"/>
    <col collapsed="false" customWidth="true" hidden="false" outlineLevel="0" max="4077" min="4077" style="0" width="2.42"/>
    <col collapsed="false" customWidth="true" hidden="false" outlineLevel="0" max="4079" min="4079" style="0" width="2.42"/>
    <col collapsed="false" customWidth="true" hidden="false" outlineLevel="0" max="4080" min="4080" style="0" width="11.71"/>
    <col collapsed="false" customWidth="true" hidden="false" outlineLevel="0" max="4081" min="4081" style="0" width="2.42"/>
    <col collapsed="false" customWidth="true" hidden="false" outlineLevel="0" max="4083" min="4083" style="0" width="4.71"/>
    <col collapsed="false" customWidth="true" hidden="false" outlineLevel="0" max="4084" min="4084" style="0" width="2.42"/>
    <col collapsed="false" customWidth="true" hidden="false" outlineLevel="0" max="4309" min="4309" style="0" width="2.86"/>
    <col collapsed="false" customWidth="true" hidden="false" outlineLevel="0" max="4310" min="4310" style="0" width="2"/>
    <col collapsed="false" customWidth="true" hidden="false" outlineLevel="0" max="4312" min="4312" style="0" width="2"/>
    <col collapsed="false" customWidth="true" hidden="false" outlineLevel="0" max="4314" min="4314" style="0" width="2"/>
    <col collapsed="false" customWidth="true" hidden="false" outlineLevel="0" max="4316" min="4316" style="0" width="2"/>
    <col collapsed="false" customWidth="true" hidden="false" outlineLevel="0" max="4318" min="4318" style="0" width="2"/>
    <col collapsed="false" customWidth="true" hidden="false" outlineLevel="0" max="4319" min="4319" style="0" width="2.86"/>
    <col collapsed="false" customWidth="true" hidden="false" outlineLevel="0" max="4320" min="4320" style="0" width="2.42"/>
    <col collapsed="false" customWidth="true" hidden="false" outlineLevel="0" max="4322" min="4322" style="0" width="2.42"/>
    <col collapsed="false" customWidth="true" hidden="false" outlineLevel="0" max="4324" min="4324" style="0" width="2.42"/>
    <col collapsed="false" customWidth="true" hidden="false" outlineLevel="0" max="4325" min="4325" style="0" width="11.71"/>
    <col collapsed="false" customWidth="true" hidden="false" outlineLevel="0" max="4326" min="4326" style="0" width="2.42"/>
    <col collapsed="false" customWidth="true" hidden="false" outlineLevel="0" max="4328" min="4328" style="0" width="4.71"/>
    <col collapsed="false" customWidth="true" hidden="false" outlineLevel="0" max="4329" min="4329" style="0" width="2.42"/>
    <col collapsed="false" customWidth="true" hidden="false" outlineLevel="0" max="4330" min="4330" style="0" width="4"/>
    <col collapsed="false" customWidth="true" hidden="false" outlineLevel="0" max="4331" min="4331" style="0" width="2.42"/>
    <col collapsed="false" customWidth="true" hidden="false" outlineLevel="0" max="4333" min="4333" style="0" width="2.42"/>
    <col collapsed="false" customWidth="true" hidden="false" outlineLevel="0" max="4335" min="4335" style="0" width="2.42"/>
    <col collapsed="false" customWidth="true" hidden="false" outlineLevel="0" max="4336" min="4336" style="0" width="11.71"/>
    <col collapsed="false" customWidth="true" hidden="false" outlineLevel="0" max="4337" min="4337" style="0" width="2.42"/>
    <col collapsed="false" customWidth="true" hidden="false" outlineLevel="0" max="4339" min="4339" style="0" width="4.71"/>
    <col collapsed="false" customWidth="true" hidden="false" outlineLevel="0" max="4340" min="4340" style="0" width="2.42"/>
    <col collapsed="false" customWidth="true" hidden="false" outlineLevel="0" max="4565" min="4565" style="0" width="2.86"/>
    <col collapsed="false" customWidth="true" hidden="false" outlineLevel="0" max="4566" min="4566" style="0" width="2"/>
    <col collapsed="false" customWidth="true" hidden="false" outlineLevel="0" max="4568" min="4568" style="0" width="2"/>
    <col collapsed="false" customWidth="true" hidden="false" outlineLevel="0" max="4570" min="4570" style="0" width="2"/>
    <col collapsed="false" customWidth="true" hidden="false" outlineLevel="0" max="4572" min="4572" style="0" width="2"/>
    <col collapsed="false" customWidth="true" hidden="false" outlineLevel="0" max="4574" min="4574" style="0" width="2"/>
    <col collapsed="false" customWidth="true" hidden="false" outlineLevel="0" max="4575" min="4575" style="0" width="2.86"/>
    <col collapsed="false" customWidth="true" hidden="false" outlineLevel="0" max="4576" min="4576" style="0" width="2.42"/>
    <col collapsed="false" customWidth="true" hidden="false" outlineLevel="0" max="4578" min="4578" style="0" width="2.42"/>
    <col collapsed="false" customWidth="true" hidden="false" outlineLevel="0" max="4580" min="4580" style="0" width="2.42"/>
    <col collapsed="false" customWidth="true" hidden="false" outlineLevel="0" max="4581" min="4581" style="0" width="11.71"/>
    <col collapsed="false" customWidth="true" hidden="false" outlineLevel="0" max="4582" min="4582" style="0" width="2.42"/>
    <col collapsed="false" customWidth="true" hidden="false" outlineLevel="0" max="4584" min="4584" style="0" width="4.71"/>
    <col collapsed="false" customWidth="true" hidden="false" outlineLevel="0" max="4585" min="4585" style="0" width="2.42"/>
    <col collapsed="false" customWidth="true" hidden="false" outlineLevel="0" max="4586" min="4586" style="0" width="4"/>
    <col collapsed="false" customWidth="true" hidden="false" outlineLevel="0" max="4587" min="4587" style="0" width="2.42"/>
    <col collapsed="false" customWidth="true" hidden="false" outlineLevel="0" max="4589" min="4589" style="0" width="2.42"/>
    <col collapsed="false" customWidth="true" hidden="false" outlineLevel="0" max="4591" min="4591" style="0" width="2.42"/>
    <col collapsed="false" customWidth="true" hidden="false" outlineLevel="0" max="4592" min="4592" style="0" width="11.71"/>
    <col collapsed="false" customWidth="true" hidden="false" outlineLevel="0" max="4593" min="4593" style="0" width="2.42"/>
    <col collapsed="false" customWidth="true" hidden="false" outlineLevel="0" max="4595" min="4595" style="0" width="4.71"/>
    <col collapsed="false" customWidth="true" hidden="false" outlineLevel="0" max="4596" min="4596" style="0" width="2.42"/>
    <col collapsed="false" customWidth="true" hidden="false" outlineLevel="0" max="4821" min="4821" style="0" width="2.86"/>
    <col collapsed="false" customWidth="true" hidden="false" outlineLevel="0" max="4822" min="4822" style="0" width="2"/>
    <col collapsed="false" customWidth="true" hidden="false" outlineLevel="0" max="4824" min="4824" style="0" width="2"/>
    <col collapsed="false" customWidth="true" hidden="false" outlineLevel="0" max="4826" min="4826" style="0" width="2"/>
    <col collapsed="false" customWidth="true" hidden="false" outlineLevel="0" max="4828" min="4828" style="0" width="2"/>
    <col collapsed="false" customWidth="true" hidden="false" outlineLevel="0" max="4830" min="4830" style="0" width="2"/>
    <col collapsed="false" customWidth="true" hidden="false" outlineLevel="0" max="4831" min="4831" style="0" width="2.86"/>
    <col collapsed="false" customWidth="true" hidden="false" outlineLevel="0" max="4832" min="4832" style="0" width="2.42"/>
    <col collapsed="false" customWidth="true" hidden="false" outlineLevel="0" max="4834" min="4834" style="0" width="2.42"/>
    <col collapsed="false" customWidth="true" hidden="false" outlineLevel="0" max="4836" min="4836" style="0" width="2.42"/>
    <col collapsed="false" customWidth="true" hidden="false" outlineLevel="0" max="4837" min="4837" style="0" width="11.71"/>
    <col collapsed="false" customWidth="true" hidden="false" outlineLevel="0" max="4838" min="4838" style="0" width="2.42"/>
    <col collapsed="false" customWidth="true" hidden="false" outlineLevel="0" max="4840" min="4840" style="0" width="4.71"/>
    <col collapsed="false" customWidth="true" hidden="false" outlineLevel="0" max="4841" min="4841" style="0" width="2.42"/>
    <col collapsed="false" customWidth="true" hidden="false" outlineLevel="0" max="4842" min="4842" style="0" width="4"/>
    <col collapsed="false" customWidth="true" hidden="false" outlineLevel="0" max="4843" min="4843" style="0" width="2.42"/>
    <col collapsed="false" customWidth="true" hidden="false" outlineLevel="0" max="4845" min="4845" style="0" width="2.42"/>
    <col collapsed="false" customWidth="true" hidden="false" outlineLevel="0" max="4847" min="4847" style="0" width="2.42"/>
    <col collapsed="false" customWidth="true" hidden="false" outlineLevel="0" max="4848" min="4848" style="0" width="11.71"/>
    <col collapsed="false" customWidth="true" hidden="false" outlineLevel="0" max="4849" min="4849" style="0" width="2.42"/>
    <col collapsed="false" customWidth="true" hidden="false" outlineLevel="0" max="4851" min="4851" style="0" width="4.71"/>
    <col collapsed="false" customWidth="true" hidden="false" outlineLevel="0" max="4852" min="4852" style="0" width="2.42"/>
    <col collapsed="false" customWidth="true" hidden="false" outlineLevel="0" max="5077" min="5077" style="0" width="2.86"/>
    <col collapsed="false" customWidth="true" hidden="false" outlineLevel="0" max="5078" min="5078" style="0" width="2"/>
    <col collapsed="false" customWidth="true" hidden="false" outlineLevel="0" max="5080" min="5080" style="0" width="2"/>
    <col collapsed="false" customWidth="true" hidden="false" outlineLevel="0" max="5082" min="5082" style="0" width="2"/>
    <col collapsed="false" customWidth="true" hidden="false" outlineLevel="0" max="5084" min="5084" style="0" width="2"/>
    <col collapsed="false" customWidth="true" hidden="false" outlineLevel="0" max="5086" min="5086" style="0" width="2"/>
    <col collapsed="false" customWidth="true" hidden="false" outlineLevel="0" max="5087" min="5087" style="0" width="2.86"/>
    <col collapsed="false" customWidth="true" hidden="false" outlineLevel="0" max="5088" min="5088" style="0" width="2.42"/>
    <col collapsed="false" customWidth="true" hidden="false" outlineLevel="0" max="5090" min="5090" style="0" width="2.42"/>
    <col collapsed="false" customWidth="true" hidden="false" outlineLevel="0" max="5092" min="5092" style="0" width="2.42"/>
    <col collapsed="false" customWidth="true" hidden="false" outlineLevel="0" max="5093" min="5093" style="0" width="11.71"/>
    <col collapsed="false" customWidth="true" hidden="false" outlineLevel="0" max="5094" min="5094" style="0" width="2.42"/>
    <col collapsed="false" customWidth="true" hidden="false" outlineLevel="0" max="5096" min="5096" style="0" width="4.71"/>
    <col collapsed="false" customWidth="true" hidden="false" outlineLevel="0" max="5097" min="5097" style="0" width="2.42"/>
    <col collapsed="false" customWidth="true" hidden="false" outlineLevel="0" max="5098" min="5098" style="0" width="4"/>
    <col collapsed="false" customWidth="true" hidden="false" outlineLevel="0" max="5099" min="5099" style="0" width="2.42"/>
    <col collapsed="false" customWidth="true" hidden="false" outlineLevel="0" max="5101" min="5101" style="0" width="2.42"/>
    <col collapsed="false" customWidth="true" hidden="false" outlineLevel="0" max="5103" min="5103" style="0" width="2.42"/>
    <col collapsed="false" customWidth="true" hidden="false" outlineLevel="0" max="5104" min="5104" style="0" width="11.71"/>
    <col collapsed="false" customWidth="true" hidden="false" outlineLevel="0" max="5105" min="5105" style="0" width="2.42"/>
    <col collapsed="false" customWidth="true" hidden="false" outlineLevel="0" max="5107" min="5107" style="0" width="4.71"/>
    <col collapsed="false" customWidth="true" hidden="false" outlineLevel="0" max="5108" min="5108" style="0" width="2.42"/>
    <col collapsed="false" customWidth="true" hidden="false" outlineLevel="0" max="5333" min="5333" style="0" width="2.86"/>
    <col collapsed="false" customWidth="true" hidden="false" outlineLevel="0" max="5334" min="5334" style="0" width="2"/>
    <col collapsed="false" customWidth="true" hidden="false" outlineLevel="0" max="5336" min="5336" style="0" width="2"/>
    <col collapsed="false" customWidth="true" hidden="false" outlineLevel="0" max="5338" min="5338" style="0" width="2"/>
    <col collapsed="false" customWidth="true" hidden="false" outlineLevel="0" max="5340" min="5340" style="0" width="2"/>
    <col collapsed="false" customWidth="true" hidden="false" outlineLevel="0" max="5342" min="5342" style="0" width="2"/>
    <col collapsed="false" customWidth="true" hidden="false" outlineLevel="0" max="5343" min="5343" style="0" width="2.86"/>
    <col collapsed="false" customWidth="true" hidden="false" outlineLevel="0" max="5344" min="5344" style="0" width="2.42"/>
    <col collapsed="false" customWidth="true" hidden="false" outlineLevel="0" max="5346" min="5346" style="0" width="2.42"/>
    <col collapsed="false" customWidth="true" hidden="false" outlineLevel="0" max="5348" min="5348" style="0" width="2.42"/>
    <col collapsed="false" customWidth="true" hidden="false" outlineLevel="0" max="5349" min="5349" style="0" width="11.71"/>
    <col collapsed="false" customWidth="true" hidden="false" outlineLevel="0" max="5350" min="5350" style="0" width="2.42"/>
    <col collapsed="false" customWidth="true" hidden="false" outlineLevel="0" max="5352" min="5352" style="0" width="4.71"/>
    <col collapsed="false" customWidth="true" hidden="false" outlineLevel="0" max="5353" min="5353" style="0" width="2.42"/>
    <col collapsed="false" customWidth="true" hidden="false" outlineLevel="0" max="5354" min="5354" style="0" width="4"/>
    <col collapsed="false" customWidth="true" hidden="false" outlineLevel="0" max="5355" min="5355" style="0" width="2.42"/>
    <col collapsed="false" customWidth="true" hidden="false" outlineLevel="0" max="5357" min="5357" style="0" width="2.42"/>
    <col collapsed="false" customWidth="true" hidden="false" outlineLevel="0" max="5359" min="5359" style="0" width="2.42"/>
    <col collapsed="false" customWidth="true" hidden="false" outlineLevel="0" max="5360" min="5360" style="0" width="11.71"/>
    <col collapsed="false" customWidth="true" hidden="false" outlineLevel="0" max="5361" min="5361" style="0" width="2.42"/>
    <col collapsed="false" customWidth="true" hidden="false" outlineLevel="0" max="5363" min="5363" style="0" width="4.71"/>
    <col collapsed="false" customWidth="true" hidden="false" outlineLevel="0" max="5364" min="5364" style="0" width="2.42"/>
    <col collapsed="false" customWidth="true" hidden="false" outlineLevel="0" max="5589" min="5589" style="0" width="2.86"/>
    <col collapsed="false" customWidth="true" hidden="false" outlineLevel="0" max="5590" min="5590" style="0" width="2"/>
    <col collapsed="false" customWidth="true" hidden="false" outlineLevel="0" max="5592" min="5592" style="0" width="2"/>
    <col collapsed="false" customWidth="true" hidden="false" outlineLevel="0" max="5594" min="5594" style="0" width="2"/>
    <col collapsed="false" customWidth="true" hidden="false" outlineLevel="0" max="5596" min="5596" style="0" width="2"/>
    <col collapsed="false" customWidth="true" hidden="false" outlineLevel="0" max="5598" min="5598" style="0" width="2"/>
    <col collapsed="false" customWidth="true" hidden="false" outlineLevel="0" max="5599" min="5599" style="0" width="2.86"/>
    <col collapsed="false" customWidth="true" hidden="false" outlineLevel="0" max="5600" min="5600" style="0" width="2.42"/>
    <col collapsed="false" customWidth="true" hidden="false" outlineLevel="0" max="5602" min="5602" style="0" width="2.42"/>
    <col collapsed="false" customWidth="true" hidden="false" outlineLevel="0" max="5604" min="5604" style="0" width="2.42"/>
    <col collapsed="false" customWidth="true" hidden="false" outlineLevel="0" max="5605" min="5605" style="0" width="11.71"/>
    <col collapsed="false" customWidth="true" hidden="false" outlineLevel="0" max="5606" min="5606" style="0" width="2.42"/>
    <col collapsed="false" customWidth="true" hidden="false" outlineLevel="0" max="5608" min="5608" style="0" width="4.71"/>
    <col collapsed="false" customWidth="true" hidden="false" outlineLevel="0" max="5609" min="5609" style="0" width="2.42"/>
    <col collapsed="false" customWidth="true" hidden="false" outlineLevel="0" max="5610" min="5610" style="0" width="4"/>
    <col collapsed="false" customWidth="true" hidden="false" outlineLevel="0" max="5611" min="5611" style="0" width="2.42"/>
    <col collapsed="false" customWidth="true" hidden="false" outlineLevel="0" max="5613" min="5613" style="0" width="2.42"/>
    <col collapsed="false" customWidth="true" hidden="false" outlineLevel="0" max="5615" min="5615" style="0" width="2.42"/>
    <col collapsed="false" customWidth="true" hidden="false" outlineLevel="0" max="5616" min="5616" style="0" width="11.71"/>
    <col collapsed="false" customWidth="true" hidden="false" outlineLevel="0" max="5617" min="5617" style="0" width="2.42"/>
    <col collapsed="false" customWidth="true" hidden="false" outlineLevel="0" max="5619" min="5619" style="0" width="4.71"/>
    <col collapsed="false" customWidth="true" hidden="false" outlineLevel="0" max="5620" min="5620" style="0" width="2.42"/>
    <col collapsed="false" customWidth="true" hidden="false" outlineLevel="0" max="5845" min="5845" style="0" width="2.86"/>
    <col collapsed="false" customWidth="true" hidden="false" outlineLevel="0" max="5846" min="5846" style="0" width="2"/>
    <col collapsed="false" customWidth="true" hidden="false" outlineLevel="0" max="5848" min="5848" style="0" width="2"/>
    <col collapsed="false" customWidth="true" hidden="false" outlineLevel="0" max="5850" min="5850" style="0" width="2"/>
    <col collapsed="false" customWidth="true" hidden="false" outlineLevel="0" max="5852" min="5852" style="0" width="2"/>
    <col collapsed="false" customWidth="true" hidden="false" outlineLevel="0" max="5854" min="5854" style="0" width="2"/>
    <col collapsed="false" customWidth="true" hidden="false" outlineLevel="0" max="5855" min="5855" style="0" width="2.86"/>
    <col collapsed="false" customWidth="true" hidden="false" outlineLevel="0" max="5856" min="5856" style="0" width="2.42"/>
    <col collapsed="false" customWidth="true" hidden="false" outlineLevel="0" max="5858" min="5858" style="0" width="2.42"/>
    <col collapsed="false" customWidth="true" hidden="false" outlineLevel="0" max="5860" min="5860" style="0" width="2.42"/>
    <col collapsed="false" customWidth="true" hidden="false" outlineLevel="0" max="5861" min="5861" style="0" width="11.71"/>
    <col collapsed="false" customWidth="true" hidden="false" outlineLevel="0" max="5862" min="5862" style="0" width="2.42"/>
    <col collapsed="false" customWidth="true" hidden="false" outlineLevel="0" max="5864" min="5864" style="0" width="4.71"/>
    <col collapsed="false" customWidth="true" hidden="false" outlineLevel="0" max="5865" min="5865" style="0" width="2.42"/>
    <col collapsed="false" customWidth="true" hidden="false" outlineLevel="0" max="5866" min="5866" style="0" width="4"/>
    <col collapsed="false" customWidth="true" hidden="false" outlineLevel="0" max="5867" min="5867" style="0" width="2.42"/>
    <col collapsed="false" customWidth="true" hidden="false" outlineLevel="0" max="5869" min="5869" style="0" width="2.42"/>
    <col collapsed="false" customWidth="true" hidden="false" outlineLevel="0" max="5871" min="5871" style="0" width="2.42"/>
    <col collapsed="false" customWidth="true" hidden="false" outlineLevel="0" max="5872" min="5872" style="0" width="11.71"/>
    <col collapsed="false" customWidth="true" hidden="false" outlineLevel="0" max="5873" min="5873" style="0" width="2.42"/>
    <col collapsed="false" customWidth="true" hidden="false" outlineLevel="0" max="5875" min="5875" style="0" width="4.71"/>
    <col collapsed="false" customWidth="true" hidden="false" outlineLevel="0" max="5876" min="5876" style="0" width="2.42"/>
    <col collapsed="false" customWidth="true" hidden="false" outlineLevel="0" max="6101" min="6101" style="0" width="2.86"/>
    <col collapsed="false" customWidth="true" hidden="false" outlineLevel="0" max="6102" min="6102" style="0" width="2"/>
    <col collapsed="false" customWidth="true" hidden="false" outlineLevel="0" max="6104" min="6104" style="0" width="2"/>
    <col collapsed="false" customWidth="true" hidden="false" outlineLevel="0" max="6106" min="6106" style="0" width="2"/>
    <col collapsed="false" customWidth="true" hidden="false" outlineLevel="0" max="6108" min="6108" style="0" width="2"/>
    <col collapsed="false" customWidth="true" hidden="false" outlineLevel="0" max="6110" min="6110" style="0" width="2"/>
    <col collapsed="false" customWidth="true" hidden="false" outlineLevel="0" max="6111" min="6111" style="0" width="2.86"/>
    <col collapsed="false" customWidth="true" hidden="false" outlineLevel="0" max="6112" min="6112" style="0" width="2.42"/>
    <col collapsed="false" customWidth="true" hidden="false" outlineLevel="0" max="6114" min="6114" style="0" width="2.42"/>
    <col collapsed="false" customWidth="true" hidden="false" outlineLevel="0" max="6116" min="6116" style="0" width="2.42"/>
    <col collapsed="false" customWidth="true" hidden="false" outlineLevel="0" max="6117" min="6117" style="0" width="11.71"/>
    <col collapsed="false" customWidth="true" hidden="false" outlineLevel="0" max="6118" min="6118" style="0" width="2.42"/>
    <col collapsed="false" customWidth="true" hidden="false" outlineLevel="0" max="6120" min="6120" style="0" width="4.71"/>
    <col collapsed="false" customWidth="true" hidden="false" outlineLevel="0" max="6121" min="6121" style="0" width="2.42"/>
    <col collapsed="false" customWidth="true" hidden="false" outlineLevel="0" max="6122" min="6122" style="0" width="4"/>
    <col collapsed="false" customWidth="true" hidden="false" outlineLevel="0" max="6123" min="6123" style="0" width="2.42"/>
    <col collapsed="false" customWidth="true" hidden="false" outlineLevel="0" max="6125" min="6125" style="0" width="2.42"/>
    <col collapsed="false" customWidth="true" hidden="false" outlineLevel="0" max="6127" min="6127" style="0" width="2.42"/>
    <col collapsed="false" customWidth="true" hidden="false" outlineLevel="0" max="6128" min="6128" style="0" width="11.71"/>
    <col collapsed="false" customWidth="true" hidden="false" outlineLevel="0" max="6129" min="6129" style="0" width="2.42"/>
    <col collapsed="false" customWidth="true" hidden="false" outlineLevel="0" max="6131" min="6131" style="0" width="4.71"/>
    <col collapsed="false" customWidth="true" hidden="false" outlineLevel="0" max="6132" min="6132" style="0" width="2.42"/>
    <col collapsed="false" customWidth="true" hidden="false" outlineLevel="0" max="6357" min="6357" style="0" width="2.86"/>
    <col collapsed="false" customWidth="true" hidden="false" outlineLevel="0" max="6358" min="6358" style="0" width="2"/>
    <col collapsed="false" customWidth="true" hidden="false" outlineLevel="0" max="6360" min="6360" style="0" width="2"/>
    <col collapsed="false" customWidth="true" hidden="false" outlineLevel="0" max="6362" min="6362" style="0" width="2"/>
    <col collapsed="false" customWidth="true" hidden="false" outlineLevel="0" max="6364" min="6364" style="0" width="2"/>
    <col collapsed="false" customWidth="true" hidden="false" outlineLevel="0" max="6366" min="6366" style="0" width="2"/>
    <col collapsed="false" customWidth="true" hidden="false" outlineLevel="0" max="6367" min="6367" style="0" width="2.86"/>
    <col collapsed="false" customWidth="true" hidden="false" outlineLevel="0" max="6368" min="6368" style="0" width="2.42"/>
    <col collapsed="false" customWidth="true" hidden="false" outlineLevel="0" max="6370" min="6370" style="0" width="2.42"/>
    <col collapsed="false" customWidth="true" hidden="false" outlineLevel="0" max="6372" min="6372" style="0" width="2.42"/>
    <col collapsed="false" customWidth="true" hidden="false" outlineLevel="0" max="6373" min="6373" style="0" width="11.71"/>
    <col collapsed="false" customWidth="true" hidden="false" outlineLevel="0" max="6374" min="6374" style="0" width="2.42"/>
    <col collapsed="false" customWidth="true" hidden="false" outlineLevel="0" max="6376" min="6376" style="0" width="4.71"/>
    <col collapsed="false" customWidth="true" hidden="false" outlineLevel="0" max="6377" min="6377" style="0" width="2.42"/>
    <col collapsed="false" customWidth="true" hidden="false" outlineLevel="0" max="6378" min="6378" style="0" width="4"/>
    <col collapsed="false" customWidth="true" hidden="false" outlineLevel="0" max="6379" min="6379" style="0" width="2.42"/>
    <col collapsed="false" customWidth="true" hidden="false" outlineLevel="0" max="6381" min="6381" style="0" width="2.42"/>
    <col collapsed="false" customWidth="true" hidden="false" outlineLevel="0" max="6383" min="6383" style="0" width="2.42"/>
    <col collapsed="false" customWidth="true" hidden="false" outlineLevel="0" max="6384" min="6384" style="0" width="11.71"/>
    <col collapsed="false" customWidth="true" hidden="false" outlineLevel="0" max="6385" min="6385" style="0" width="2.42"/>
    <col collapsed="false" customWidth="true" hidden="false" outlineLevel="0" max="6387" min="6387" style="0" width="4.71"/>
    <col collapsed="false" customWidth="true" hidden="false" outlineLevel="0" max="6388" min="6388" style="0" width="2.42"/>
    <col collapsed="false" customWidth="true" hidden="false" outlineLevel="0" max="6613" min="6613" style="0" width="2.86"/>
    <col collapsed="false" customWidth="true" hidden="false" outlineLevel="0" max="6614" min="6614" style="0" width="2"/>
    <col collapsed="false" customWidth="true" hidden="false" outlineLevel="0" max="6616" min="6616" style="0" width="2"/>
    <col collapsed="false" customWidth="true" hidden="false" outlineLevel="0" max="6618" min="6618" style="0" width="2"/>
    <col collapsed="false" customWidth="true" hidden="false" outlineLevel="0" max="6620" min="6620" style="0" width="2"/>
    <col collapsed="false" customWidth="true" hidden="false" outlineLevel="0" max="6622" min="6622" style="0" width="2"/>
    <col collapsed="false" customWidth="true" hidden="false" outlineLevel="0" max="6623" min="6623" style="0" width="2.86"/>
    <col collapsed="false" customWidth="true" hidden="false" outlineLevel="0" max="6624" min="6624" style="0" width="2.42"/>
    <col collapsed="false" customWidth="true" hidden="false" outlineLevel="0" max="6626" min="6626" style="0" width="2.42"/>
    <col collapsed="false" customWidth="true" hidden="false" outlineLevel="0" max="6628" min="6628" style="0" width="2.42"/>
    <col collapsed="false" customWidth="true" hidden="false" outlineLevel="0" max="6629" min="6629" style="0" width="11.71"/>
    <col collapsed="false" customWidth="true" hidden="false" outlineLevel="0" max="6630" min="6630" style="0" width="2.42"/>
    <col collapsed="false" customWidth="true" hidden="false" outlineLevel="0" max="6632" min="6632" style="0" width="4.71"/>
    <col collapsed="false" customWidth="true" hidden="false" outlineLevel="0" max="6633" min="6633" style="0" width="2.42"/>
    <col collapsed="false" customWidth="true" hidden="false" outlineLevel="0" max="6634" min="6634" style="0" width="4"/>
    <col collapsed="false" customWidth="true" hidden="false" outlineLevel="0" max="6635" min="6635" style="0" width="2.42"/>
    <col collapsed="false" customWidth="true" hidden="false" outlineLevel="0" max="6637" min="6637" style="0" width="2.42"/>
    <col collapsed="false" customWidth="true" hidden="false" outlineLevel="0" max="6639" min="6639" style="0" width="2.42"/>
    <col collapsed="false" customWidth="true" hidden="false" outlineLevel="0" max="6640" min="6640" style="0" width="11.71"/>
    <col collapsed="false" customWidth="true" hidden="false" outlineLevel="0" max="6641" min="6641" style="0" width="2.42"/>
    <col collapsed="false" customWidth="true" hidden="false" outlineLevel="0" max="6643" min="6643" style="0" width="4.71"/>
    <col collapsed="false" customWidth="true" hidden="false" outlineLevel="0" max="6644" min="6644" style="0" width="2.42"/>
    <col collapsed="false" customWidth="true" hidden="false" outlineLevel="0" max="6869" min="6869" style="0" width="2.86"/>
    <col collapsed="false" customWidth="true" hidden="false" outlineLevel="0" max="6870" min="6870" style="0" width="2"/>
    <col collapsed="false" customWidth="true" hidden="false" outlineLevel="0" max="6872" min="6872" style="0" width="2"/>
    <col collapsed="false" customWidth="true" hidden="false" outlineLevel="0" max="6874" min="6874" style="0" width="2"/>
    <col collapsed="false" customWidth="true" hidden="false" outlineLevel="0" max="6876" min="6876" style="0" width="2"/>
    <col collapsed="false" customWidth="true" hidden="false" outlineLevel="0" max="6878" min="6878" style="0" width="2"/>
    <col collapsed="false" customWidth="true" hidden="false" outlineLevel="0" max="6879" min="6879" style="0" width="2.86"/>
    <col collapsed="false" customWidth="true" hidden="false" outlineLevel="0" max="6880" min="6880" style="0" width="2.42"/>
    <col collapsed="false" customWidth="true" hidden="false" outlineLevel="0" max="6882" min="6882" style="0" width="2.42"/>
    <col collapsed="false" customWidth="true" hidden="false" outlineLevel="0" max="6884" min="6884" style="0" width="2.42"/>
    <col collapsed="false" customWidth="true" hidden="false" outlineLevel="0" max="6885" min="6885" style="0" width="11.71"/>
    <col collapsed="false" customWidth="true" hidden="false" outlineLevel="0" max="6886" min="6886" style="0" width="2.42"/>
    <col collapsed="false" customWidth="true" hidden="false" outlineLevel="0" max="6888" min="6888" style="0" width="4.71"/>
    <col collapsed="false" customWidth="true" hidden="false" outlineLevel="0" max="6889" min="6889" style="0" width="2.42"/>
    <col collapsed="false" customWidth="true" hidden="false" outlineLevel="0" max="6890" min="6890" style="0" width="4"/>
    <col collapsed="false" customWidth="true" hidden="false" outlineLevel="0" max="6891" min="6891" style="0" width="2.42"/>
    <col collapsed="false" customWidth="true" hidden="false" outlineLevel="0" max="6893" min="6893" style="0" width="2.42"/>
    <col collapsed="false" customWidth="true" hidden="false" outlineLevel="0" max="6895" min="6895" style="0" width="2.42"/>
    <col collapsed="false" customWidth="true" hidden="false" outlineLevel="0" max="6896" min="6896" style="0" width="11.71"/>
    <col collapsed="false" customWidth="true" hidden="false" outlineLevel="0" max="6897" min="6897" style="0" width="2.42"/>
    <col collapsed="false" customWidth="true" hidden="false" outlineLevel="0" max="6899" min="6899" style="0" width="4.71"/>
    <col collapsed="false" customWidth="true" hidden="false" outlineLevel="0" max="6900" min="6900" style="0" width="2.42"/>
    <col collapsed="false" customWidth="true" hidden="false" outlineLevel="0" max="7125" min="7125" style="0" width="2.86"/>
    <col collapsed="false" customWidth="true" hidden="false" outlineLevel="0" max="7126" min="7126" style="0" width="2"/>
    <col collapsed="false" customWidth="true" hidden="false" outlineLevel="0" max="7128" min="7128" style="0" width="2"/>
    <col collapsed="false" customWidth="true" hidden="false" outlineLevel="0" max="7130" min="7130" style="0" width="2"/>
    <col collapsed="false" customWidth="true" hidden="false" outlineLevel="0" max="7132" min="7132" style="0" width="2"/>
    <col collapsed="false" customWidth="true" hidden="false" outlineLevel="0" max="7134" min="7134" style="0" width="2"/>
    <col collapsed="false" customWidth="true" hidden="false" outlineLevel="0" max="7135" min="7135" style="0" width="2.86"/>
    <col collapsed="false" customWidth="true" hidden="false" outlineLevel="0" max="7136" min="7136" style="0" width="2.42"/>
    <col collapsed="false" customWidth="true" hidden="false" outlineLevel="0" max="7138" min="7138" style="0" width="2.42"/>
    <col collapsed="false" customWidth="true" hidden="false" outlineLevel="0" max="7140" min="7140" style="0" width="2.42"/>
    <col collapsed="false" customWidth="true" hidden="false" outlineLevel="0" max="7141" min="7141" style="0" width="11.71"/>
    <col collapsed="false" customWidth="true" hidden="false" outlineLevel="0" max="7142" min="7142" style="0" width="2.42"/>
    <col collapsed="false" customWidth="true" hidden="false" outlineLevel="0" max="7144" min="7144" style="0" width="4.71"/>
    <col collapsed="false" customWidth="true" hidden="false" outlineLevel="0" max="7145" min="7145" style="0" width="2.42"/>
    <col collapsed="false" customWidth="true" hidden="false" outlineLevel="0" max="7146" min="7146" style="0" width="4"/>
    <col collapsed="false" customWidth="true" hidden="false" outlineLevel="0" max="7147" min="7147" style="0" width="2.42"/>
    <col collapsed="false" customWidth="true" hidden="false" outlineLevel="0" max="7149" min="7149" style="0" width="2.42"/>
    <col collapsed="false" customWidth="true" hidden="false" outlineLevel="0" max="7151" min="7151" style="0" width="2.42"/>
    <col collapsed="false" customWidth="true" hidden="false" outlineLevel="0" max="7152" min="7152" style="0" width="11.71"/>
    <col collapsed="false" customWidth="true" hidden="false" outlineLevel="0" max="7153" min="7153" style="0" width="2.42"/>
    <col collapsed="false" customWidth="true" hidden="false" outlineLevel="0" max="7155" min="7155" style="0" width="4.71"/>
    <col collapsed="false" customWidth="true" hidden="false" outlineLevel="0" max="7156" min="7156" style="0" width="2.42"/>
    <col collapsed="false" customWidth="true" hidden="false" outlineLevel="0" max="7381" min="7381" style="0" width="2.86"/>
    <col collapsed="false" customWidth="true" hidden="false" outlineLevel="0" max="7382" min="7382" style="0" width="2"/>
    <col collapsed="false" customWidth="true" hidden="false" outlineLevel="0" max="7384" min="7384" style="0" width="2"/>
    <col collapsed="false" customWidth="true" hidden="false" outlineLevel="0" max="7386" min="7386" style="0" width="2"/>
    <col collapsed="false" customWidth="true" hidden="false" outlineLevel="0" max="7388" min="7388" style="0" width="2"/>
    <col collapsed="false" customWidth="true" hidden="false" outlineLevel="0" max="7390" min="7390" style="0" width="2"/>
    <col collapsed="false" customWidth="true" hidden="false" outlineLevel="0" max="7391" min="7391" style="0" width="2.86"/>
    <col collapsed="false" customWidth="true" hidden="false" outlineLevel="0" max="7392" min="7392" style="0" width="2.42"/>
    <col collapsed="false" customWidth="true" hidden="false" outlineLevel="0" max="7394" min="7394" style="0" width="2.42"/>
    <col collapsed="false" customWidth="true" hidden="false" outlineLevel="0" max="7396" min="7396" style="0" width="2.42"/>
    <col collapsed="false" customWidth="true" hidden="false" outlineLevel="0" max="7397" min="7397" style="0" width="11.71"/>
    <col collapsed="false" customWidth="true" hidden="false" outlineLevel="0" max="7398" min="7398" style="0" width="2.42"/>
    <col collapsed="false" customWidth="true" hidden="false" outlineLevel="0" max="7400" min="7400" style="0" width="4.71"/>
    <col collapsed="false" customWidth="true" hidden="false" outlineLevel="0" max="7401" min="7401" style="0" width="2.42"/>
    <col collapsed="false" customWidth="true" hidden="false" outlineLevel="0" max="7402" min="7402" style="0" width="4"/>
    <col collapsed="false" customWidth="true" hidden="false" outlineLevel="0" max="7403" min="7403" style="0" width="2.42"/>
    <col collapsed="false" customWidth="true" hidden="false" outlineLevel="0" max="7405" min="7405" style="0" width="2.42"/>
    <col collapsed="false" customWidth="true" hidden="false" outlineLevel="0" max="7407" min="7407" style="0" width="2.42"/>
    <col collapsed="false" customWidth="true" hidden="false" outlineLevel="0" max="7408" min="7408" style="0" width="11.71"/>
    <col collapsed="false" customWidth="true" hidden="false" outlineLevel="0" max="7409" min="7409" style="0" width="2.42"/>
    <col collapsed="false" customWidth="true" hidden="false" outlineLevel="0" max="7411" min="7411" style="0" width="4.71"/>
    <col collapsed="false" customWidth="true" hidden="false" outlineLevel="0" max="7412" min="7412" style="0" width="2.42"/>
    <col collapsed="false" customWidth="true" hidden="false" outlineLevel="0" max="7637" min="7637" style="0" width="2.86"/>
    <col collapsed="false" customWidth="true" hidden="false" outlineLevel="0" max="7638" min="7638" style="0" width="2"/>
    <col collapsed="false" customWidth="true" hidden="false" outlineLevel="0" max="7640" min="7640" style="0" width="2"/>
    <col collapsed="false" customWidth="true" hidden="false" outlineLevel="0" max="7642" min="7642" style="0" width="2"/>
    <col collapsed="false" customWidth="true" hidden="false" outlineLevel="0" max="7644" min="7644" style="0" width="2"/>
    <col collapsed="false" customWidth="true" hidden="false" outlineLevel="0" max="7646" min="7646" style="0" width="2"/>
    <col collapsed="false" customWidth="true" hidden="false" outlineLevel="0" max="7647" min="7647" style="0" width="2.86"/>
    <col collapsed="false" customWidth="true" hidden="false" outlineLevel="0" max="7648" min="7648" style="0" width="2.42"/>
    <col collapsed="false" customWidth="true" hidden="false" outlineLevel="0" max="7650" min="7650" style="0" width="2.42"/>
    <col collapsed="false" customWidth="true" hidden="false" outlineLevel="0" max="7652" min="7652" style="0" width="2.42"/>
    <col collapsed="false" customWidth="true" hidden="false" outlineLevel="0" max="7653" min="7653" style="0" width="11.71"/>
    <col collapsed="false" customWidth="true" hidden="false" outlineLevel="0" max="7654" min="7654" style="0" width="2.42"/>
    <col collapsed="false" customWidth="true" hidden="false" outlineLevel="0" max="7656" min="7656" style="0" width="4.71"/>
    <col collapsed="false" customWidth="true" hidden="false" outlineLevel="0" max="7657" min="7657" style="0" width="2.42"/>
    <col collapsed="false" customWidth="true" hidden="false" outlineLevel="0" max="7658" min="7658" style="0" width="4"/>
    <col collapsed="false" customWidth="true" hidden="false" outlineLevel="0" max="7659" min="7659" style="0" width="2.42"/>
    <col collapsed="false" customWidth="true" hidden="false" outlineLevel="0" max="7661" min="7661" style="0" width="2.42"/>
    <col collapsed="false" customWidth="true" hidden="false" outlineLevel="0" max="7663" min="7663" style="0" width="2.42"/>
    <col collapsed="false" customWidth="true" hidden="false" outlineLevel="0" max="7664" min="7664" style="0" width="11.71"/>
    <col collapsed="false" customWidth="true" hidden="false" outlineLevel="0" max="7665" min="7665" style="0" width="2.42"/>
    <col collapsed="false" customWidth="true" hidden="false" outlineLevel="0" max="7667" min="7667" style="0" width="4.71"/>
    <col collapsed="false" customWidth="true" hidden="false" outlineLevel="0" max="7668" min="7668" style="0" width="2.42"/>
    <col collapsed="false" customWidth="true" hidden="false" outlineLevel="0" max="7893" min="7893" style="0" width="2.86"/>
    <col collapsed="false" customWidth="true" hidden="false" outlineLevel="0" max="7894" min="7894" style="0" width="2"/>
    <col collapsed="false" customWidth="true" hidden="false" outlineLevel="0" max="7896" min="7896" style="0" width="2"/>
    <col collapsed="false" customWidth="true" hidden="false" outlineLevel="0" max="7898" min="7898" style="0" width="2"/>
    <col collapsed="false" customWidth="true" hidden="false" outlineLevel="0" max="7900" min="7900" style="0" width="2"/>
    <col collapsed="false" customWidth="true" hidden="false" outlineLevel="0" max="7902" min="7902" style="0" width="2"/>
    <col collapsed="false" customWidth="true" hidden="false" outlineLevel="0" max="7903" min="7903" style="0" width="2.86"/>
    <col collapsed="false" customWidth="true" hidden="false" outlineLevel="0" max="7904" min="7904" style="0" width="2.42"/>
    <col collapsed="false" customWidth="true" hidden="false" outlineLevel="0" max="7906" min="7906" style="0" width="2.42"/>
    <col collapsed="false" customWidth="true" hidden="false" outlineLevel="0" max="7908" min="7908" style="0" width="2.42"/>
    <col collapsed="false" customWidth="true" hidden="false" outlineLevel="0" max="7909" min="7909" style="0" width="11.71"/>
    <col collapsed="false" customWidth="true" hidden="false" outlineLevel="0" max="7910" min="7910" style="0" width="2.42"/>
    <col collapsed="false" customWidth="true" hidden="false" outlineLevel="0" max="7912" min="7912" style="0" width="4.71"/>
    <col collapsed="false" customWidth="true" hidden="false" outlineLevel="0" max="7913" min="7913" style="0" width="2.42"/>
    <col collapsed="false" customWidth="true" hidden="false" outlineLevel="0" max="7914" min="7914" style="0" width="4"/>
    <col collapsed="false" customWidth="true" hidden="false" outlineLevel="0" max="7915" min="7915" style="0" width="2.42"/>
    <col collapsed="false" customWidth="true" hidden="false" outlineLevel="0" max="7917" min="7917" style="0" width="2.42"/>
    <col collapsed="false" customWidth="true" hidden="false" outlineLevel="0" max="7919" min="7919" style="0" width="2.42"/>
    <col collapsed="false" customWidth="true" hidden="false" outlineLevel="0" max="7920" min="7920" style="0" width="11.71"/>
    <col collapsed="false" customWidth="true" hidden="false" outlineLevel="0" max="7921" min="7921" style="0" width="2.42"/>
    <col collapsed="false" customWidth="true" hidden="false" outlineLevel="0" max="7923" min="7923" style="0" width="4.71"/>
    <col collapsed="false" customWidth="true" hidden="false" outlineLevel="0" max="7924" min="7924" style="0" width="2.42"/>
    <col collapsed="false" customWidth="true" hidden="false" outlineLevel="0" max="8149" min="8149" style="0" width="2.86"/>
    <col collapsed="false" customWidth="true" hidden="false" outlineLevel="0" max="8150" min="8150" style="0" width="2"/>
    <col collapsed="false" customWidth="true" hidden="false" outlineLevel="0" max="8152" min="8152" style="0" width="2"/>
    <col collapsed="false" customWidth="true" hidden="false" outlineLevel="0" max="8154" min="8154" style="0" width="2"/>
    <col collapsed="false" customWidth="true" hidden="false" outlineLevel="0" max="8156" min="8156" style="0" width="2"/>
    <col collapsed="false" customWidth="true" hidden="false" outlineLevel="0" max="8158" min="8158" style="0" width="2"/>
    <col collapsed="false" customWidth="true" hidden="false" outlineLevel="0" max="8159" min="8159" style="0" width="2.86"/>
    <col collapsed="false" customWidth="true" hidden="false" outlineLevel="0" max="8160" min="8160" style="0" width="2.42"/>
    <col collapsed="false" customWidth="true" hidden="false" outlineLevel="0" max="8162" min="8162" style="0" width="2.42"/>
    <col collapsed="false" customWidth="true" hidden="false" outlineLevel="0" max="8164" min="8164" style="0" width="2.42"/>
    <col collapsed="false" customWidth="true" hidden="false" outlineLevel="0" max="8165" min="8165" style="0" width="11.71"/>
    <col collapsed="false" customWidth="true" hidden="false" outlineLevel="0" max="8166" min="8166" style="0" width="2.42"/>
    <col collapsed="false" customWidth="true" hidden="false" outlineLevel="0" max="8168" min="8168" style="0" width="4.71"/>
    <col collapsed="false" customWidth="true" hidden="false" outlineLevel="0" max="8169" min="8169" style="0" width="2.42"/>
    <col collapsed="false" customWidth="true" hidden="false" outlineLevel="0" max="8170" min="8170" style="0" width="4"/>
    <col collapsed="false" customWidth="true" hidden="false" outlineLevel="0" max="8171" min="8171" style="0" width="2.42"/>
    <col collapsed="false" customWidth="true" hidden="false" outlineLevel="0" max="8173" min="8173" style="0" width="2.42"/>
    <col collapsed="false" customWidth="true" hidden="false" outlineLevel="0" max="8175" min="8175" style="0" width="2.42"/>
    <col collapsed="false" customWidth="true" hidden="false" outlineLevel="0" max="8176" min="8176" style="0" width="11.71"/>
    <col collapsed="false" customWidth="true" hidden="false" outlineLevel="0" max="8177" min="8177" style="0" width="2.42"/>
    <col collapsed="false" customWidth="true" hidden="false" outlineLevel="0" max="8179" min="8179" style="0" width="4.71"/>
    <col collapsed="false" customWidth="true" hidden="false" outlineLevel="0" max="8180" min="8180" style="0" width="2.42"/>
    <col collapsed="false" customWidth="true" hidden="false" outlineLevel="0" max="8405" min="8405" style="0" width="2.86"/>
    <col collapsed="false" customWidth="true" hidden="false" outlineLevel="0" max="8406" min="8406" style="0" width="2"/>
    <col collapsed="false" customWidth="true" hidden="false" outlineLevel="0" max="8408" min="8408" style="0" width="2"/>
    <col collapsed="false" customWidth="true" hidden="false" outlineLevel="0" max="8410" min="8410" style="0" width="2"/>
    <col collapsed="false" customWidth="true" hidden="false" outlineLevel="0" max="8412" min="8412" style="0" width="2"/>
    <col collapsed="false" customWidth="true" hidden="false" outlineLevel="0" max="8414" min="8414" style="0" width="2"/>
    <col collapsed="false" customWidth="true" hidden="false" outlineLevel="0" max="8415" min="8415" style="0" width="2.86"/>
    <col collapsed="false" customWidth="true" hidden="false" outlineLevel="0" max="8416" min="8416" style="0" width="2.42"/>
    <col collapsed="false" customWidth="true" hidden="false" outlineLevel="0" max="8418" min="8418" style="0" width="2.42"/>
    <col collapsed="false" customWidth="true" hidden="false" outlineLevel="0" max="8420" min="8420" style="0" width="2.42"/>
    <col collapsed="false" customWidth="true" hidden="false" outlineLevel="0" max="8421" min="8421" style="0" width="11.71"/>
    <col collapsed="false" customWidth="true" hidden="false" outlineLevel="0" max="8422" min="8422" style="0" width="2.42"/>
    <col collapsed="false" customWidth="true" hidden="false" outlineLevel="0" max="8424" min="8424" style="0" width="4.71"/>
    <col collapsed="false" customWidth="true" hidden="false" outlineLevel="0" max="8425" min="8425" style="0" width="2.42"/>
    <col collapsed="false" customWidth="true" hidden="false" outlineLevel="0" max="8426" min="8426" style="0" width="4"/>
    <col collapsed="false" customWidth="true" hidden="false" outlineLevel="0" max="8427" min="8427" style="0" width="2.42"/>
    <col collapsed="false" customWidth="true" hidden="false" outlineLevel="0" max="8429" min="8429" style="0" width="2.42"/>
    <col collapsed="false" customWidth="true" hidden="false" outlineLevel="0" max="8431" min="8431" style="0" width="2.42"/>
    <col collapsed="false" customWidth="true" hidden="false" outlineLevel="0" max="8432" min="8432" style="0" width="11.71"/>
    <col collapsed="false" customWidth="true" hidden="false" outlineLevel="0" max="8433" min="8433" style="0" width="2.42"/>
    <col collapsed="false" customWidth="true" hidden="false" outlineLevel="0" max="8435" min="8435" style="0" width="4.71"/>
    <col collapsed="false" customWidth="true" hidden="false" outlineLevel="0" max="8436" min="8436" style="0" width="2.42"/>
    <col collapsed="false" customWidth="true" hidden="false" outlineLevel="0" max="8661" min="8661" style="0" width="2.86"/>
    <col collapsed="false" customWidth="true" hidden="false" outlineLevel="0" max="8662" min="8662" style="0" width="2"/>
    <col collapsed="false" customWidth="true" hidden="false" outlineLevel="0" max="8664" min="8664" style="0" width="2"/>
    <col collapsed="false" customWidth="true" hidden="false" outlineLevel="0" max="8666" min="8666" style="0" width="2"/>
    <col collapsed="false" customWidth="true" hidden="false" outlineLevel="0" max="8668" min="8668" style="0" width="2"/>
    <col collapsed="false" customWidth="true" hidden="false" outlineLevel="0" max="8670" min="8670" style="0" width="2"/>
    <col collapsed="false" customWidth="true" hidden="false" outlineLevel="0" max="8671" min="8671" style="0" width="2.86"/>
    <col collapsed="false" customWidth="true" hidden="false" outlineLevel="0" max="8672" min="8672" style="0" width="2.42"/>
    <col collapsed="false" customWidth="true" hidden="false" outlineLevel="0" max="8674" min="8674" style="0" width="2.42"/>
    <col collapsed="false" customWidth="true" hidden="false" outlineLevel="0" max="8676" min="8676" style="0" width="2.42"/>
    <col collapsed="false" customWidth="true" hidden="false" outlineLevel="0" max="8677" min="8677" style="0" width="11.71"/>
    <col collapsed="false" customWidth="true" hidden="false" outlineLevel="0" max="8678" min="8678" style="0" width="2.42"/>
    <col collapsed="false" customWidth="true" hidden="false" outlineLevel="0" max="8680" min="8680" style="0" width="4.71"/>
    <col collapsed="false" customWidth="true" hidden="false" outlineLevel="0" max="8681" min="8681" style="0" width="2.42"/>
    <col collapsed="false" customWidth="true" hidden="false" outlineLevel="0" max="8682" min="8682" style="0" width="4"/>
    <col collapsed="false" customWidth="true" hidden="false" outlineLevel="0" max="8683" min="8683" style="0" width="2.42"/>
    <col collapsed="false" customWidth="true" hidden="false" outlineLevel="0" max="8685" min="8685" style="0" width="2.42"/>
    <col collapsed="false" customWidth="true" hidden="false" outlineLevel="0" max="8687" min="8687" style="0" width="2.42"/>
    <col collapsed="false" customWidth="true" hidden="false" outlineLevel="0" max="8688" min="8688" style="0" width="11.71"/>
    <col collapsed="false" customWidth="true" hidden="false" outlineLevel="0" max="8689" min="8689" style="0" width="2.42"/>
    <col collapsed="false" customWidth="true" hidden="false" outlineLevel="0" max="8691" min="8691" style="0" width="4.71"/>
    <col collapsed="false" customWidth="true" hidden="false" outlineLevel="0" max="8692" min="8692" style="0" width="2.42"/>
    <col collapsed="false" customWidth="true" hidden="false" outlineLevel="0" max="8917" min="8917" style="0" width="2.86"/>
    <col collapsed="false" customWidth="true" hidden="false" outlineLevel="0" max="8918" min="8918" style="0" width="2"/>
    <col collapsed="false" customWidth="true" hidden="false" outlineLevel="0" max="8920" min="8920" style="0" width="2"/>
    <col collapsed="false" customWidth="true" hidden="false" outlineLevel="0" max="8922" min="8922" style="0" width="2"/>
    <col collapsed="false" customWidth="true" hidden="false" outlineLevel="0" max="8924" min="8924" style="0" width="2"/>
    <col collapsed="false" customWidth="true" hidden="false" outlineLevel="0" max="8926" min="8926" style="0" width="2"/>
    <col collapsed="false" customWidth="true" hidden="false" outlineLevel="0" max="8927" min="8927" style="0" width="2.86"/>
    <col collapsed="false" customWidth="true" hidden="false" outlineLevel="0" max="8928" min="8928" style="0" width="2.42"/>
    <col collapsed="false" customWidth="true" hidden="false" outlineLevel="0" max="8930" min="8930" style="0" width="2.42"/>
    <col collapsed="false" customWidth="true" hidden="false" outlineLevel="0" max="8932" min="8932" style="0" width="2.42"/>
    <col collapsed="false" customWidth="true" hidden="false" outlineLevel="0" max="8933" min="8933" style="0" width="11.71"/>
    <col collapsed="false" customWidth="true" hidden="false" outlineLevel="0" max="8934" min="8934" style="0" width="2.42"/>
    <col collapsed="false" customWidth="true" hidden="false" outlineLevel="0" max="8936" min="8936" style="0" width="4.71"/>
    <col collapsed="false" customWidth="true" hidden="false" outlineLevel="0" max="8937" min="8937" style="0" width="2.42"/>
    <col collapsed="false" customWidth="true" hidden="false" outlineLevel="0" max="8938" min="8938" style="0" width="4"/>
    <col collapsed="false" customWidth="true" hidden="false" outlineLevel="0" max="8939" min="8939" style="0" width="2.42"/>
    <col collapsed="false" customWidth="true" hidden="false" outlineLevel="0" max="8941" min="8941" style="0" width="2.42"/>
    <col collapsed="false" customWidth="true" hidden="false" outlineLevel="0" max="8943" min="8943" style="0" width="2.42"/>
    <col collapsed="false" customWidth="true" hidden="false" outlineLevel="0" max="8944" min="8944" style="0" width="11.71"/>
    <col collapsed="false" customWidth="true" hidden="false" outlineLevel="0" max="8945" min="8945" style="0" width="2.42"/>
    <col collapsed="false" customWidth="true" hidden="false" outlineLevel="0" max="8947" min="8947" style="0" width="4.71"/>
    <col collapsed="false" customWidth="true" hidden="false" outlineLevel="0" max="8948" min="8948" style="0" width="2.42"/>
    <col collapsed="false" customWidth="true" hidden="false" outlineLevel="0" max="9173" min="9173" style="0" width="2.86"/>
    <col collapsed="false" customWidth="true" hidden="false" outlineLevel="0" max="9174" min="9174" style="0" width="2"/>
    <col collapsed="false" customWidth="true" hidden="false" outlineLevel="0" max="9176" min="9176" style="0" width="2"/>
    <col collapsed="false" customWidth="true" hidden="false" outlineLevel="0" max="9178" min="9178" style="0" width="2"/>
    <col collapsed="false" customWidth="true" hidden="false" outlineLevel="0" max="9180" min="9180" style="0" width="2"/>
    <col collapsed="false" customWidth="true" hidden="false" outlineLevel="0" max="9182" min="9182" style="0" width="2"/>
    <col collapsed="false" customWidth="true" hidden="false" outlineLevel="0" max="9183" min="9183" style="0" width="2.86"/>
    <col collapsed="false" customWidth="true" hidden="false" outlineLevel="0" max="9184" min="9184" style="0" width="2.42"/>
    <col collapsed="false" customWidth="true" hidden="false" outlineLevel="0" max="9186" min="9186" style="0" width="2.42"/>
    <col collapsed="false" customWidth="true" hidden="false" outlineLevel="0" max="9188" min="9188" style="0" width="2.42"/>
    <col collapsed="false" customWidth="true" hidden="false" outlineLevel="0" max="9189" min="9189" style="0" width="11.71"/>
    <col collapsed="false" customWidth="true" hidden="false" outlineLevel="0" max="9190" min="9190" style="0" width="2.42"/>
    <col collapsed="false" customWidth="true" hidden="false" outlineLevel="0" max="9192" min="9192" style="0" width="4.71"/>
    <col collapsed="false" customWidth="true" hidden="false" outlineLevel="0" max="9193" min="9193" style="0" width="2.42"/>
    <col collapsed="false" customWidth="true" hidden="false" outlineLevel="0" max="9194" min="9194" style="0" width="4"/>
    <col collapsed="false" customWidth="true" hidden="false" outlineLevel="0" max="9195" min="9195" style="0" width="2.42"/>
    <col collapsed="false" customWidth="true" hidden="false" outlineLevel="0" max="9197" min="9197" style="0" width="2.42"/>
    <col collapsed="false" customWidth="true" hidden="false" outlineLevel="0" max="9199" min="9199" style="0" width="2.42"/>
    <col collapsed="false" customWidth="true" hidden="false" outlineLevel="0" max="9200" min="9200" style="0" width="11.71"/>
    <col collapsed="false" customWidth="true" hidden="false" outlineLevel="0" max="9201" min="9201" style="0" width="2.42"/>
    <col collapsed="false" customWidth="true" hidden="false" outlineLevel="0" max="9203" min="9203" style="0" width="4.71"/>
    <col collapsed="false" customWidth="true" hidden="false" outlineLevel="0" max="9204" min="9204" style="0" width="2.42"/>
    <col collapsed="false" customWidth="true" hidden="false" outlineLevel="0" max="9429" min="9429" style="0" width="2.86"/>
    <col collapsed="false" customWidth="true" hidden="false" outlineLevel="0" max="9430" min="9430" style="0" width="2"/>
    <col collapsed="false" customWidth="true" hidden="false" outlineLevel="0" max="9432" min="9432" style="0" width="2"/>
    <col collapsed="false" customWidth="true" hidden="false" outlineLevel="0" max="9434" min="9434" style="0" width="2"/>
    <col collapsed="false" customWidth="true" hidden="false" outlineLevel="0" max="9436" min="9436" style="0" width="2"/>
    <col collapsed="false" customWidth="true" hidden="false" outlineLevel="0" max="9438" min="9438" style="0" width="2"/>
    <col collapsed="false" customWidth="true" hidden="false" outlineLevel="0" max="9439" min="9439" style="0" width="2.86"/>
    <col collapsed="false" customWidth="true" hidden="false" outlineLevel="0" max="9440" min="9440" style="0" width="2.42"/>
    <col collapsed="false" customWidth="true" hidden="false" outlineLevel="0" max="9442" min="9442" style="0" width="2.42"/>
    <col collapsed="false" customWidth="true" hidden="false" outlineLevel="0" max="9444" min="9444" style="0" width="2.42"/>
    <col collapsed="false" customWidth="true" hidden="false" outlineLevel="0" max="9445" min="9445" style="0" width="11.71"/>
    <col collapsed="false" customWidth="true" hidden="false" outlineLevel="0" max="9446" min="9446" style="0" width="2.42"/>
    <col collapsed="false" customWidth="true" hidden="false" outlineLevel="0" max="9448" min="9448" style="0" width="4.71"/>
    <col collapsed="false" customWidth="true" hidden="false" outlineLevel="0" max="9449" min="9449" style="0" width="2.42"/>
    <col collapsed="false" customWidth="true" hidden="false" outlineLevel="0" max="9450" min="9450" style="0" width="4"/>
    <col collapsed="false" customWidth="true" hidden="false" outlineLevel="0" max="9451" min="9451" style="0" width="2.42"/>
    <col collapsed="false" customWidth="true" hidden="false" outlineLevel="0" max="9453" min="9453" style="0" width="2.42"/>
    <col collapsed="false" customWidth="true" hidden="false" outlineLevel="0" max="9455" min="9455" style="0" width="2.42"/>
    <col collapsed="false" customWidth="true" hidden="false" outlineLevel="0" max="9456" min="9456" style="0" width="11.71"/>
    <col collapsed="false" customWidth="true" hidden="false" outlineLevel="0" max="9457" min="9457" style="0" width="2.42"/>
    <col collapsed="false" customWidth="true" hidden="false" outlineLevel="0" max="9459" min="9459" style="0" width="4.71"/>
    <col collapsed="false" customWidth="true" hidden="false" outlineLevel="0" max="9460" min="9460" style="0" width="2.42"/>
    <col collapsed="false" customWidth="true" hidden="false" outlineLevel="0" max="9685" min="9685" style="0" width="2.86"/>
    <col collapsed="false" customWidth="true" hidden="false" outlineLevel="0" max="9686" min="9686" style="0" width="2"/>
    <col collapsed="false" customWidth="true" hidden="false" outlineLevel="0" max="9688" min="9688" style="0" width="2"/>
    <col collapsed="false" customWidth="true" hidden="false" outlineLevel="0" max="9690" min="9690" style="0" width="2"/>
    <col collapsed="false" customWidth="true" hidden="false" outlineLevel="0" max="9692" min="9692" style="0" width="2"/>
    <col collapsed="false" customWidth="true" hidden="false" outlineLevel="0" max="9694" min="9694" style="0" width="2"/>
    <col collapsed="false" customWidth="true" hidden="false" outlineLevel="0" max="9695" min="9695" style="0" width="2.86"/>
    <col collapsed="false" customWidth="true" hidden="false" outlineLevel="0" max="9696" min="9696" style="0" width="2.42"/>
    <col collapsed="false" customWidth="true" hidden="false" outlineLevel="0" max="9698" min="9698" style="0" width="2.42"/>
    <col collapsed="false" customWidth="true" hidden="false" outlineLevel="0" max="9700" min="9700" style="0" width="2.42"/>
    <col collapsed="false" customWidth="true" hidden="false" outlineLevel="0" max="9701" min="9701" style="0" width="11.71"/>
    <col collapsed="false" customWidth="true" hidden="false" outlineLevel="0" max="9702" min="9702" style="0" width="2.42"/>
    <col collapsed="false" customWidth="true" hidden="false" outlineLevel="0" max="9704" min="9704" style="0" width="4.71"/>
    <col collapsed="false" customWidth="true" hidden="false" outlineLevel="0" max="9705" min="9705" style="0" width="2.42"/>
    <col collapsed="false" customWidth="true" hidden="false" outlineLevel="0" max="9706" min="9706" style="0" width="4"/>
    <col collapsed="false" customWidth="true" hidden="false" outlineLevel="0" max="9707" min="9707" style="0" width="2.42"/>
    <col collapsed="false" customWidth="true" hidden="false" outlineLevel="0" max="9709" min="9709" style="0" width="2.42"/>
    <col collapsed="false" customWidth="true" hidden="false" outlineLevel="0" max="9711" min="9711" style="0" width="2.42"/>
    <col collapsed="false" customWidth="true" hidden="false" outlineLevel="0" max="9712" min="9712" style="0" width="11.71"/>
    <col collapsed="false" customWidth="true" hidden="false" outlineLevel="0" max="9713" min="9713" style="0" width="2.42"/>
    <col collapsed="false" customWidth="true" hidden="false" outlineLevel="0" max="9715" min="9715" style="0" width="4.71"/>
    <col collapsed="false" customWidth="true" hidden="false" outlineLevel="0" max="9716" min="9716" style="0" width="2.42"/>
    <col collapsed="false" customWidth="true" hidden="false" outlineLevel="0" max="9941" min="9941" style="0" width="2.86"/>
    <col collapsed="false" customWidth="true" hidden="false" outlineLevel="0" max="9942" min="9942" style="0" width="2"/>
    <col collapsed="false" customWidth="true" hidden="false" outlineLevel="0" max="9944" min="9944" style="0" width="2"/>
    <col collapsed="false" customWidth="true" hidden="false" outlineLevel="0" max="9946" min="9946" style="0" width="2"/>
    <col collapsed="false" customWidth="true" hidden="false" outlineLevel="0" max="9948" min="9948" style="0" width="2"/>
    <col collapsed="false" customWidth="true" hidden="false" outlineLevel="0" max="9950" min="9950" style="0" width="2"/>
    <col collapsed="false" customWidth="true" hidden="false" outlineLevel="0" max="9951" min="9951" style="0" width="2.86"/>
    <col collapsed="false" customWidth="true" hidden="false" outlineLevel="0" max="9952" min="9952" style="0" width="2.42"/>
    <col collapsed="false" customWidth="true" hidden="false" outlineLevel="0" max="9954" min="9954" style="0" width="2.42"/>
    <col collapsed="false" customWidth="true" hidden="false" outlineLevel="0" max="9956" min="9956" style="0" width="2.42"/>
    <col collapsed="false" customWidth="true" hidden="false" outlineLevel="0" max="9957" min="9957" style="0" width="11.71"/>
    <col collapsed="false" customWidth="true" hidden="false" outlineLevel="0" max="9958" min="9958" style="0" width="2.42"/>
    <col collapsed="false" customWidth="true" hidden="false" outlineLevel="0" max="9960" min="9960" style="0" width="4.71"/>
    <col collapsed="false" customWidth="true" hidden="false" outlineLevel="0" max="9961" min="9961" style="0" width="2.42"/>
    <col collapsed="false" customWidth="true" hidden="false" outlineLevel="0" max="9962" min="9962" style="0" width="4"/>
    <col collapsed="false" customWidth="true" hidden="false" outlineLevel="0" max="9963" min="9963" style="0" width="2.42"/>
    <col collapsed="false" customWidth="true" hidden="false" outlineLevel="0" max="9965" min="9965" style="0" width="2.42"/>
    <col collapsed="false" customWidth="true" hidden="false" outlineLevel="0" max="9967" min="9967" style="0" width="2.42"/>
    <col collapsed="false" customWidth="true" hidden="false" outlineLevel="0" max="9968" min="9968" style="0" width="11.71"/>
    <col collapsed="false" customWidth="true" hidden="false" outlineLevel="0" max="9969" min="9969" style="0" width="2.42"/>
    <col collapsed="false" customWidth="true" hidden="false" outlineLevel="0" max="9971" min="9971" style="0" width="4.71"/>
    <col collapsed="false" customWidth="true" hidden="false" outlineLevel="0" max="9972" min="9972" style="0" width="2.42"/>
    <col collapsed="false" customWidth="true" hidden="false" outlineLevel="0" max="10197" min="10197" style="0" width="2.86"/>
    <col collapsed="false" customWidth="true" hidden="false" outlineLevel="0" max="10198" min="10198" style="0" width="2"/>
    <col collapsed="false" customWidth="true" hidden="false" outlineLevel="0" max="10200" min="10200" style="0" width="2"/>
    <col collapsed="false" customWidth="true" hidden="false" outlineLevel="0" max="10202" min="10202" style="0" width="2"/>
    <col collapsed="false" customWidth="true" hidden="false" outlineLevel="0" max="10204" min="10204" style="0" width="2"/>
    <col collapsed="false" customWidth="true" hidden="false" outlineLevel="0" max="10206" min="10206" style="0" width="2"/>
    <col collapsed="false" customWidth="true" hidden="false" outlineLevel="0" max="10207" min="10207" style="0" width="2.86"/>
    <col collapsed="false" customWidth="true" hidden="false" outlineLevel="0" max="10208" min="10208" style="0" width="2.42"/>
    <col collapsed="false" customWidth="true" hidden="false" outlineLevel="0" max="10210" min="10210" style="0" width="2.42"/>
    <col collapsed="false" customWidth="true" hidden="false" outlineLevel="0" max="10212" min="10212" style="0" width="2.42"/>
    <col collapsed="false" customWidth="true" hidden="false" outlineLevel="0" max="10213" min="10213" style="0" width="11.71"/>
    <col collapsed="false" customWidth="true" hidden="false" outlineLevel="0" max="10214" min="10214" style="0" width="2.42"/>
    <col collapsed="false" customWidth="true" hidden="false" outlineLevel="0" max="10216" min="10216" style="0" width="4.71"/>
    <col collapsed="false" customWidth="true" hidden="false" outlineLevel="0" max="10217" min="10217" style="0" width="2.42"/>
    <col collapsed="false" customWidth="true" hidden="false" outlineLevel="0" max="10218" min="10218" style="0" width="4"/>
    <col collapsed="false" customWidth="true" hidden="false" outlineLevel="0" max="10219" min="10219" style="0" width="2.42"/>
    <col collapsed="false" customWidth="true" hidden="false" outlineLevel="0" max="10221" min="10221" style="0" width="2.42"/>
    <col collapsed="false" customWidth="true" hidden="false" outlineLevel="0" max="10223" min="10223" style="0" width="2.42"/>
    <col collapsed="false" customWidth="true" hidden="false" outlineLevel="0" max="10224" min="10224" style="0" width="11.71"/>
    <col collapsed="false" customWidth="true" hidden="false" outlineLevel="0" max="10225" min="10225" style="0" width="2.42"/>
    <col collapsed="false" customWidth="true" hidden="false" outlineLevel="0" max="10227" min="10227" style="0" width="4.71"/>
    <col collapsed="false" customWidth="true" hidden="false" outlineLevel="0" max="10228" min="10228" style="0" width="2.42"/>
    <col collapsed="false" customWidth="true" hidden="false" outlineLevel="0" max="10453" min="10453" style="0" width="2.86"/>
    <col collapsed="false" customWidth="true" hidden="false" outlineLevel="0" max="10454" min="10454" style="0" width="2"/>
    <col collapsed="false" customWidth="true" hidden="false" outlineLevel="0" max="10456" min="10456" style="0" width="2"/>
    <col collapsed="false" customWidth="true" hidden="false" outlineLevel="0" max="10458" min="10458" style="0" width="2"/>
    <col collapsed="false" customWidth="true" hidden="false" outlineLevel="0" max="10460" min="10460" style="0" width="2"/>
    <col collapsed="false" customWidth="true" hidden="false" outlineLevel="0" max="10462" min="10462" style="0" width="2"/>
    <col collapsed="false" customWidth="true" hidden="false" outlineLevel="0" max="10463" min="10463" style="0" width="2.86"/>
    <col collapsed="false" customWidth="true" hidden="false" outlineLevel="0" max="10464" min="10464" style="0" width="2.42"/>
    <col collapsed="false" customWidth="true" hidden="false" outlineLevel="0" max="10466" min="10466" style="0" width="2.42"/>
    <col collapsed="false" customWidth="true" hidden="false" outlineLevel="0" max="10468" min="10468" style="0" width="2.42"/>
    <col collapsed="false" customWidth="true" hidden="false" outlineLevel="0" max="10469" min="10469" style="0" width="11.71"/>
    <col collapsed="false" customWidth="true" hidden="false" outlineLevel="0" max="10470" min="10470" style="0" width="2.42"/>
    <col collapsed="false" customWidth="true" hidden="false" outlineLevel="0" max="10472" min="10472" style="0" width="4.71"/>
    <col collapsed="false" customWidth="true" hidden="false" outlineLevel="0" max="10473" min="10473" style="0" width="2.42"/>
    <col collapsed="false" customWidth="true" hidden="false" outlineLevel="0" max="10474" min="10474" style="0" width="4"/>
    <col collapsed="false" customWidth="true" hidden="false" outlineLevel="0" max="10475" min="10475" style="0" width="2.42"/>
    <col collapsed="false" customWidth="true" hidden="false" outlineLevel="0" max="10477" min="10477" style="0" width="2.42"/>
    <col collapsed="false" customWidth="true" hidden="false" outlineLevel="0" max="10479" min="10479" style="0" width="2.42"/>
    <col collapsed="false" customWidth="true" hidden="false" outlineLevel="0" max="10480" min="10480" style="0" width="11.71"/>
    <col collapsed="false" customWidth="true" hidden="false" outlineLevel="0" max="10481" min="10481" style="0" width="2.42"/>
    <col collapsed="false" customWidth="true" hidden="false" outlineLevel="0" max="10483" min="10483" style="0" width="4.71"/>
    <col collapsed="false" customWidth="true" hidden="false" outlineLevel="0" max="10484" min="10484" style="0" width="2.42"/>
    <col collapsed="false" customWidth="true" hidden="false" outlineLevel="0" max="10709" min="10709" style="0" width="2.86"/>
    <col collapsed="false" customWidth="true" hidden="false" outlineLevel="0" max="10710" min="10710" style="0" width="2"/>
    <col collapsed="false" customWidth="true" hidden="false" outlineLevel="0" max="10712" min="10712" style="0" width="2"/>
    <col collapsed="false" customWidth="true" hidden="false" outlineLevel="0" max="10714" min="10714" style="0" width="2"/>
    <col collapsed="false" customWidth="true" hidden="false" outlineLevel="0" max="10716" min="10716" style="0" width="2"/>
    <col collapsed="false" customWidth="true" hidden="false" outlineLevel="0" max="10718" min="10718" style="0" width="2"/>
    <col collapsed="false" customWidth="true" hidden="false" outlineLevel="0" max="10719" min="10719" style="0" width="2.86"/>
    <col collapsed="false" customWidth="true" hidden="false" outlineLevel="0" max="10720" min="10720" style="0" width="2.42"/>
    <col collapsed="false" customWidth="true" hidden="false" outlineLevel="0" max="10722" min="10722" style="0" width="2.42"/>
    <col collapsed="false" customWidth="true" hidden="false" outlineLevel="0" max="10724" min="10724" style="0" width="2.42"/>
    <col collapsed="false" customWidth="true" hidden="false" outlineLevel="0" max="10725" min="10725" style="0" width="11.71"/>
    <col collapsed="false" customWidth="true" hidden="false" outlineLevel="0" max="10726" min="10726" style="0" width="2.42"/>
    <col collapsed="false" customWidth="true" hidden="false" outlineLevel="0" max="10728" min="10728" style="0" width="4.71"/>
    <col collapsed="false" customWidth="true" hidden="false" outlineLevel="0" max="10729" min="10729" style="0" width="2.42"/>
    <col collapsed="false" customWidth="true" hidden="false" outlineLevel="0" max="10730" min="10730" style="0" width="4"/>
    <col collapsed="false" customWidth="true" hidden="false" outlineLevel="0" max="10731" min="10731" style="0" width="2.42"/>
    <col collapsed="false" customWidth="true" hidden="false" outlineLevel="0" max="10733" min="10733" style="0" width="2.42"/>
    <col collapsed="false" customWidth="true" hidden="false" outlineLevel="0" max="10735" min="10735" style="0" width="2.42"/>
    <col collapsed="false" customWidth="true" hidden="false" outlineLevel="0" max="10736" min="10736" style="0" width="11.71"/>
    <col collapsed="false" customWidth="true" hidden="false" outlineLevel="0" max="10737" min="10737" style="0" width="2.42"/>
    <col collapsed="false" customWidth="true" hidden="false" outlineLevel="0" max="10739" min="10739" style="0" width="4.71"/>
    <col collapsed="false" customWidth="true" hidden="false" outlineLevel="0" max="10740" min="10740" style="0" width="2.42"/>
    <col collapsed="false" customWidth="true" hidden="false" outlineLevel="0" max="10965" min="10965" style="0" width="2.86"/>
    <col collapsed="false" customWidth="true" hidden="false" outlineLevel="0" max="10966" min="10966" style="0" width="2"/>
    <col collapsed="false" customWidth="true" hidden="false" outlineLevel="0" max="10968" min="10968" style="0" width="2"/>
    <col collapsed="false" customWidth="true" hidden="false" outlineLevel="0" max="10970" min="10970" style="0" width="2"/>
    <col collapsed="false" customWidth="true" hidden="false" outlineLevel="0" max="10972" min="10972" style="0" width="2"/>
    <col collapsed="false" customWidth="true" hidden="false" outlineLevel="0" max="10974" min="10974" style="0" width="2"/>
    <col collapsed="false" customWidth="true" hidden="false" outlineLevel="0" max="10975" min="10975" style="0" width="2.86"/>
    <col collapsed="false" customWidth="true" hidden="false" outlineLevel="0" max="10976" min="10976" style="0" width="2.42"/>
    <col collapsed="false" customWidth="true" hidden="false" outlineLevel="0" max="10978" min="10978" style="0" width="2.42"/>
    <col collapsed="false" customWidth="true" hidden="false" outlineLevel="0" max="10980" min="10980" style="0" width="2.42"/>
    <col collapsed="false" customWidth="true" hidden="false" outlineLevel="0" max="10981" min="10981" style="0" width="11.71"/>
    <col collapsed="false" customWidth="true" hidden="false" outlineLevel="0" max="10982" min="10982" style="0" width="2.42"/>
    <col collapsed="false" customWidth="true" hidden="false" outlineLevel="0" max="10984" min="10984" style="0" width="4.71"/>
    <col collapsed="false" customWidth="true" hidden="false" outlineLevel="0" max="10985" min="10985" style="0" width="2.42"/>
    <col collapsed="false" customWidth="true" hidden="false" outlineLevel="0" max="10986" min="10986" style="0" width="4"/>
    <col collapsed="false" customWidth="true" hidden="false" outlineLevel="0" max="10987" min="10987" style="0" width="2.42"/>
    <col collapsed="false" customWidth="true" hidden="false" outlineLevel="0" max="10989" min="10989" style="0" width="2.42"/>
    <col collapsed="false" customWidth="true" hidden="false" outlineLevel="0" max="10991" min="10991" style="0" width="2.42"/>
    <col collapsed="false" customWidth="true" hidden="false" outlineLevel="0" max="10992" min="10992" style="0" width="11.71"/>
    <col collapsed="false" customWidth="true" hidden="false" outlineLevel="0" max="10993" min="10993" style="0" width="2.42"/>
    <col collapsed="false" customWidth="true" hidden="false" outlineLevel="0" max="10995" min="10995" style="0" width="4.71"/>
    <col collapsed="false" customWidth="true" hidden="false" outlineLevel="0" max="10996" min="10996" style="0" width="2.42"/>
    <col collapsed="false" customWidth="true" hidden="false" outlineLevel="0" max="11221" min="11221" style="0" width="2.86"/>
    <col collapsed="false" customWidth="true" hidden="false" outlineLevel="0" max="11222" min="11222" style="0" width="2"/>
    <col collapsed="false" customWidth="true" hidden="false" outlineLevel="0" max="11224" min="11224" style="0" width="2"/>
    <col collapsed="false" customWidth="true" hidden="false" outlineLevel="0" max="11226" min="11226" style="0" width="2"/>
    <col collapsed="false" customWidth="true" hidden="false" outlineLevel="0" max="11228" min="11228" style="0" width="2"/>
    <col collapsed="false" customWidth="true" hidden="false" outlineLevel="0" max="11230" min="11230" style="0" width="2"/>
    <col collapsed="false" customWidth="true" hidden="false" outlineLevel="0" max="11231" min="11231" style="0" width="2.86"/>
    <col collapsed="false" customWidth="true" hidden="false" outlineLevel="0" max="11232" min="11232" style="0" width="2.42"/>
    <col collapsed="false" customWidth="true" hidden="false" outlineLevel="0" max="11234" min="11234" style="0" width="2.42"/>
    <col collapsed="false" customWidth="true" hidden="false" outlineLevel="0" max="11236" min="11236" style="0" width="2.42"/>
    <col collapsed="false" customWidth="true" hidden="false" outlineLevel="0" max="11237" min="11237" style="0" width="11.71"/>
    <col collapsed="false" customWidth="true" hidden="false" outlineLevel="0" max="11238" min="11238" style="0" width="2.42"/>
    <col collapsed="false" customWidth="true" hidden="false" outlineLevel="0" max="11240" min="11240" style="0" width="4.71"/>
    <col collapsed="false" customWidth="true" hidden="false" outlineLevel="0" max="11241" min="11241" style="0" width="2.42"/>
    <col collapsed="false" customWidth="true" hidden="false" outlineLevel="0" max="11242" min="11242" style="0" width="4"/>
    <col collapsed="false" customWidth="true" hidden="false" outlineLevel="0" max="11243" min="11243" style="0" width="2.42"/>
    <col collapsed="false" customWidth="true" hidden="false" outlineLevel="0" max="11245" min="11245" style="0" width="2.42"/>
    <col collapsed="false" customWidth="true" hidden="false" outlineLevel="0" max="11247" min="11247" style="0" width="2.42"/>
    <col collapsed="false" customWidth="true" hidden="false" outlineLevel="0" max="11248" min="11248" style="0" width="11.71"/>
    <col collapsed="false" customWidth="true" hidden="false" outlineLevel="0" max="11249" min="11249" style="0" width="2.42"/>
    <col collapsed="false" customWidth="true" hidden="false" outlineLevel="0" max="11251" min="11251" style="0" width="4.71"/>
    <col collapsed="false" customWidth="true" hidden="false" outlineLevel="0" max="11252" min="11252" style="0" width="2.42"/>
    <col collapsed="false" customWidth="true" hidden="false" outlineLevel="0" max="11477" min="11477" style="0" width="2.86"/>
    <col collapsed="false" customWidth="true" hidden="false" outlineLevel="0" max="11478" min="11478" style="0" width="2"/>
    <col collapsed="false" customWidth="true" hidden="false" outlineLevel="0" max="11480" min="11480" style="0" width="2"/>
    <col collapsed="false" customWidth="true" hidden="false" outlineLevel="0" max="11482" min="11482" style="0" width="2"/>
    <col collapsed="false" customWidth="true" hidden="false" outlineLevel="0" max="11484" min="11484" style="0" width="2"/>
    <col collapsed="false" customWidth="true" hidden="false" outlineLevel="0" max="11486" min="11486" style="0" width="2"/>
    <col collapsed="false" customWidth="true" hidden="false" outlineLevel="0" max="11487" min="11487" style="0" width="2.86"/>
    <col collapsed="false" customWidth="true" hidden="false" outlineLevel="0" max="11488" min="11488" style="0" width="2.42"/>
    <col collapsed="false" customWidth="true" hidden="false" outlineLevel="0" max="11490" min="11490" style="0" width="2.42"/>
    <col collapsed="false" customWidth="true" hidden="false" outlineLevel="0" max="11492" min="11492" style="0" width="2.42"/>
    <col collapsed="false" customWidth="true" hidden="false" outlineLevel="0" max="11493" min="11493" style="0" width="11.71"/>
    <col collapsed="false" customWidth="true" hidden="false" outlineLevel="0" max="11494" min="11494" style="0" width="2.42"/>
    <col collapsed="false" customWidth="true" hidden="false" outlineLevel="0" max="11496" min="11496" style="0" width="4.71"/>
    <col collapsed="false" customWidth="true" hidden="false" outlineLevel="0" max="11497" min="11497" style="0" width="2.42"/>
    <col collapsed="false" customWidth="true" hidden="false" outlineLevel="0" max="11498" min="11498" style="0" width="4"/>
    <col collapsed="false" customWidth="true" hidden="false" outlineLevel="0" max="11499" min="11499" style="0" width="2.42"/>
    <col collapsed="false" customWidth="true" hidden="false" outlineLevel="0" max="11501" min="11501" style="0" width="2.42"/>
    <col collapsed="false" customWidth="true" hidden="false" outlineLevel="0" max="11503" min="11503" style="0" width="2.42"/>
    <col collapsed="false" customWidth="true" hidden="false" outlineLevel="0" max="11504" min="11504" style="0" width="11.71"/>
    <col collapsed="false" customWidth="true" hidden="false" outlineLevel="0" max="11505" min="11505" style="0" width="2.42"/>
    <col collapsed="false" customWidth="true" hidden="false" outlineLevel="0" max="11507" min="11507" style="0" width="4.71"/>
    <col collapsed="false" customWidth="true" hidden="false" outlineLevel="0" max="11508" min="11508" style="0" width="2.42"/>
    <col collapsed="false" customWidth="true" hidden="false" outlineLevel="0" max="11733" min="11733" style="0" width="2.86"/>
    <col collapsed="false" customWidth="true" hidden="false" outlineLevel="0" max="11734" min="11734" style="0" width="2"/>
    <col collapsed="false" customWidth="true" hidden="false" outlineLevel="0" max="11736" min="11736" style="0" width="2"/>
    <col collapsed="false" customWidth="true" hidden="false" outlineLevel="0" max="11738" min="11738" style="0" width="2"/>
    <col collapsed="false" customWidth="true" hidden="false" outlineLevel="0" max="11740" min="11740" style="0" width="2"/>
    <col collapsed="false" customWidth="true" hidden="false" outlineLevel="0" max="11742" min="11742" style="0" width="2"/>
    <col collapsed="false" customWidth="true" hidden="false" outlineLevel="0" max="11743" min="11743" style="0" width="2.86"/>
    <col collapsed="false" customWidth="true" hidden="false" outlineLevel="0" max="11744" min="11744" style="0" width="2.42"/>
    <col collapsed="false" customWidth="true" hidden="false" outlineLevel="0" max="11746" min="11746" style="0" width="2.42"/>
    <col collapsed="false" customWidth="true" hidden="false" outlineLevel="0" max="11748" min="11748" style="0" width="2.42"/>
    <col collapsed="false" customWidth="true" hidden="false" outlineLevel="0" max="11749" min="11749" style="0" width="11.71"/>
    <col collapsed="false" customWidth="true" hidden="false" outlineLevel="0" max="11750" min="11750" style="0" width="2.42"/>
    <col collapsed="false" customWidth="true" hidden="false" outlineLevel="0" max="11752" min="11752" style="0" width="4.71"/>
    <col collapsed="false" customWidth="true" hidden="false" outlineLevel="0" max="11753" min="11753" style="0" width="2.42"/>
    <col collapsed="false" customWidth="true" hidden="false" outlineLevel="0" max="11754" min="11754" style="0" width="4"/>
    <col collapsed="false" customWidth="true" hidden="false" outlineLevel="0" max="11755" min="11755" style="0" width="2.42"/>
    <col collapsed="false" customWidth="true" hidden="false" outlineLevel="0" max="11757" min="11757" style="0" width="2.42"/>
    <col collapsed="false" customWidth="true" hidden="false" outlineLevel="0" max="11759" min="11759" style="0" width="2.42"/>
    <col collapsed="false" customWidth="true" hidden="false" outlineLevel="0" max="11760" min="11760" style="0" width="11.71"/>
    <col collapsed="false" customWidth="true" hidden="false" outlineLevel="0" max="11761" min="11761" style="0" width="2.42"/>
    <col collapsed="false" customWidth="true" hidden="false" outlineLevel="0" max="11763" min="11763" style="0" width="4.71"/>
    <col collapsed="false" customWidth="true" hidden="false" outlineLevel="0" max="11764" min="11764" style="0" width="2.42"/>
    <col collapsed="false" customWidth="true" hidden="false" outlineLevel="0" max="11989" min="11989" style="0" width="2.86"/>
    <col collapsed="false" customWidth="true" hidden="false" outlineLevel="0" max="11990" min="11990" style="0" width="2"/>
    <col collapsed="false" customWidth="true" hidden="false" outlineLevel="0" max="11992" min="11992" style="0" width="2"/>
    <col collapsed="false" customWidth="true" hidden="false" outlineLevel="0" max="11994" min="11994" style="0" width="2"/>
    <col collapsed="false" customWidth="true" hidden="false" outlineLevel="0" max="11996" min="11996" style="0" width="2"/>
    <col collapsed="false" customWidth="true" hidden="false" outlineLevel="0" max="11998" min="11998" style="0" width="2"/>
    <col collapsed="false" customWidth="true" hidden="false" outlineLevel="0" max="11999" min="11999" style="0" width="2.86"/>
    <col collapsed="false" customWidth="true" hidden="false" outlineLevel="0" max="12000" min="12000" style="0" width="2.42"/>
    <col collapsed="false" customWidth="true" hidden="false" outlineLevel="0" max="12002" min="12002" style="0" width="2.42"/>
    <col collapsed="false" customWidth="true" hidden="false" outlineLevel="0" max="12004" min="12004" style="0" width="2.42"/>
    <col collapsed="false" customWidth="true" hidden="false" outlineLevel="0" max="12005" min="12005" style="0" width="11.71"/>
    <col collapsed="false" customWidth="true" hidden="false" outlineLevel="0" max="12006" min="12006" style="0" width="2.42"/>
    <col collapsed="false" customWidth="true" hidden="false" outlineLevel="0" max="12008" min="12008" style="0" width="4.71"/>
    <col collapsed="false" customWidth="true" hidden="false" outlineLevel="0" max="12009" min="12009" style="0" width="2.42"/>
    <col collapsed="false" customWidth="true" hidden="false" outlineLevel="0" max="12010" min="12010" style="0" width="4"/>
    <col collapsed="false" customWidth="true" hidden="false" outlineLevel="0" max="12011" min="12011" style="0" width="2.42"/>
    <col collapsed="false" customWidth="true" hidden="false" outlineLevel="0" max="12013" min="12013" style="0" width="2.42"/>
    <col collapsed="false" customWidth="true" hidden="false" outlineLevel="0" max="12015" min="12015" style="0" width="2.42"/>
    <col collapsed="false" customWidth="true" hidden="false" outlineLevel="0" max="12016" min="12016" style="0" width="11.71"/>
    <col collapsed="false" customWidth="true" hidden="false" outlineLevel="0" max="12017" min="12017" style="0" width="2.42"/>
    <col collapsed="false" customWidth="true" hidden="false" outlineLevel="0" max="12019" min="12019" style="0" width="4.71"/>
    <col collapsed="false" customWidth="true" hidden="false" outlineLevel="0" max="12020" min="12020" style="0" width="2.42"/>
    <col collapsed="false" customWidth="true" hidden="false" outlineLevel="0" max="12245" min="12245" style="0" width="2.86"/>
    <col collapsed="false" customWidth="true" hidden="false" outlineLevel="0" max="12246" min="12246" style="0" width="2"/>
    <col collapsed="false" customWidth="true" hidden="false" outlineLevel="0" max="12248" min="12248" style="0" width="2"/>
    <col collapsed="false" customWidth="true" hidden="false" outlineLevel="0" max="12250" min="12250" style="0" width="2"/>
    <col collapsed="false" customWidth="true" hidden="false" outlineLevel="0" max="12252" min="12252" style="0" width="2"/>
    <col collapsed="false" customWidth="true" hidden="false" outlineLevel="0" max="12254" min="12254" style="0" width="2"/>
    <col collapsed="false" customWidth="true" hidden="false" outlineLevel="0" max="12255" min="12255" style="0" width="2.86"/>
    <col collapsed="false" customWidth="true" hidden="false" outlineLevel="0" max="12256" min="12256" style="0" width="2.42"/>
    <col collapsed="false" customWidth="true" hidden="false" outlineLevel="0" max="12258" min="12258" style="0" width="2.42"/>
    <col collapsed="false" customWidth="true" hidden="false" outlineLevel="0" max="12260" min="12260" style="0" width="2.42"/>
    <col collapsed="false" customWidth="true" hidden="false" outlineLevel="0" max="12261" min="12261" style="0" width="11.71"/>
    <col collapsed="false" customWidth="true" hidden="false" outlineLevel="0" max="12262" min="12262" style="0" width="2.42"/>
    <col collapsed="false" customWidth="true" hidden="false" outlineLevel="0" max="12264" min="12264" style="0" width="4.71"/>
    <col collapsed="false" customWidth="true" hidden="false" outlineLevel="0" max="12265" min="12265" style="0" width="2.42"/>
    <col collapsed="false" customWidth="true" hidden="false" outlineLevel="0" max="12266" min="12266" style="0" width="4"/>
    <col collapsed="false" customWidth="true" hidden="false" outlineLevel="0" max="12267" min="12267" style="0" width="2.42"/>
    <col collapsed="false" customWidth="true" hidden="false" outlineLevel="0" max="12269" min="12269" style="0" width="2.42"/>
    <col collapsed="false" customWidth="true" hidden="false" outlineLevel="0" max="12271" min="12271" style="0" width="2.42"/>
    <col collapsed="false" customWidth="true" hidden="false" outlineLevel="0" max="12272" min="12272" style="0" width="11.71"/>
    <col collapsed="false" customWidth="true" hidden="false" outlineLevel="0" max="12273" min="12273" style="0" width="2.42"/>
    <col collapsed="false" customWidth="true" hidden="false" outlineLevel="0" max="12275" min="12275" style="0" width="4.71"/>
    <col collapsed="false" customWidth="true" hidden="false" outlineLevel="0" max="12276" min="12276" style="0" width="2.42"/>
    <col collapsed="false" customWidth="true" hidden="false" outlineLevel="0" max="12501" min="12501" style="0" width="2.86"/>
    <col collapsed="false" customWidth="true" hidden="false" outlineLevel="0" max="12502" min="12502" style="0" width="2"/>
    <col collapsed="false" customWidth="true" hidden="false" outlineLevel="0" max="12504" min="12504" style="0" width="2"/>
    <col collapsed="false" customWidth="true" hidden="false" outlineLevel="0" max="12506" min="12506" style="0" width="2"/>
    <col collapsed="false" customWidth="true" hidden="false" outlineLevel="0" max="12508" min="12508" style="0" width="2"/>
    <col collapsed="false" customWidth="true" hidden="false" outlineLevel="0" max="12510" min="12510" style="0" width="2"/>
    <col collapsed="false" customWidth="true" hidden="false" outlineLevel="0" max="12511" min="12511" style="0" width="2.86"/>
    <col collapsed="false" customWidth="true" hidden="false" outlineLevel="0" max="12512" min="12512" style="0" width="2.42"/>
    <col collapsed="false" customWidth="true" hidden="false" outlineLevel="0" max="12514" min="12514" style="0" width="2.42"/>
    <col collapsed="false" customWidth="true" hidden="false" outlineLevel="0" max="12516" min="12516" style="0" width="2.42"/>
    <col collapsed="false" customWidth="true" hidden="false" outlineLevel="0" max="12517" min="12517" style="0" width="11.71"/>
    <col collapsed="false" customWidth="true" hidden="false" outlineLevel="0" max="12518" min="12518" style="0" width="2.42"/>
    <col collapsed="false" customWidth="true" hidden="false" outlineLevel="0" max="12520" min="12520" style="0" width="4.71"/>
    <col collapsed="false" customWidth="true" hidden="false" outlineLevel="0" max="12521" min="12521" style="0" width="2.42"/>
    <col collapsed="false" customWidth="true" hidden="false" outlineLevel="0" max="12522" min="12522" style="0" width="4"/>
    <col collapsed="false" customWidth="true" hidden="false" outlineLevel="0" max="12523" min="12523" style="0" width="2.42"/>
    <col collapsed="false" customWidth="true" hidden="false" outlineLevel="0" max="12525" min="12525" style="0" width="2.42"/>
    <col collapsed="false" customWidth="true" hidden="false" outlineLevel="0" max="12527" min="12527" style="0" width="2.42"/>
    <col collapsed="false" customWidth="true" hidden="false" outlineLevel="0" max="12528" min="12528" style="0" width="11.71"/>
    <col collapsed="false" customWidth="true" hidden="false" outlineLevel="0" max="12529" min="12529" style="0" width="2.42"/>
    <col collapsed="false" customWidth="true" hidden="false" outlineLevel="0" max="12531" min="12531" style="0" width="4.71"/>
    <col collapsed="false" customWidth="true" hidden="false" outlineLevel="0" max="12532" min="12532" style="0" width="2.42"/>
    <col collapsed="false" customWidth="true" hidden="false" outlineLevel="0" max="12757" min="12757" style="0" width="2.86"/>
    <col collapsed="false" customWidth="true" hidden="false" outlineLevel="0" max="12758" min="12758" style="0" width="2"/>
    <col collapsed="false" customWidth="true" hidden="false" outlineLevel="0" max="12760" min="12760" style="0" width="2"/>
    <col collapsed="false" customWidth="true" hidden="false" outlineLevel="0" max="12762" min="12762" style="0" width="2"/>
    <col collapsed="false" customWidth="true" hidden="false" outlineLevel="0" max="12764" min="12764" style="0" width="2"/>
    <col collapsed="false" customWidth="true" hidden="false" outlineLevel="0" max="12766" min="12766" style="0" width="2"/>
    <col collapsed="false" customWidth="true" hidden="false" outlineLevel="0" max="12767" min="12767" style="0" width="2.86"/>
    <col collapsed="false" customWidth="true" hidden="false" outlineLevel="0" max="12768" min="12768" style="0" width="2.42"/>
    <col collapsed="false" customWidth="true" hidden="false" outlineLevel="0" max="12770" min="12770" style="0" width="2.42"/>
    <col collapsed="false" customWidth="true" hidden="false" outlineLevel="0" max="12772" min="12772" style="0" width="2.42"/>
    <col collapsed="false" customWidth="true" hidden="false" outlineLevel="0" max="12773" min="12773" style="0" width="11.71"/>
    <col collapsed="false" customWidth="true" hidden="false" outlineLevel="0" max="12774" min="12774" style="0" width="2.42"/>
    <col collapsed="false" customWidth="true" hidden="false" outlineLevel="0" max="12776" min="12776" style="0" width="4.71"/>
    <col collapsed="false" customWidth="true" hidden="false" outlineLevel="0" max="12777" min="12777" style="0" width="2.42"/>
    <col collapsed="false" customWidth="true" hidden="false" outlineLevel="0" max="12778" min="12778" style="0" width="4"/>
    <col collapsed="false" customWidth="true" hidden="false" outlineLevel="0" max="12779" min="12779" style="0" width="2.42"/>
    <col collapsed="false" customWidth="true" hidden="false" outlineLevel="0" max="12781" min="12781" style="0" width="2.42"/>
    <col collapsed="false" customWidth="true" hidden="false" outlineLevel="0" max="12783" min="12783" style="0" width="2.42"/>
    <col collapsed="false" customWidth="true" hidden="false" outlineLevel="0" max="12784" min="12784" style="0" width="11.71"/>
    <col collapsed="false" customWidth="true" hidden="false" outlineLevel="0" max="12785" min="12785" style="0" width="2.42"/>
    <col collapsed="false" customWidth="true" hidden="false" outlineLevel="0" max="12787" min="12787" style="0" width="4.71"/>
    <col collapsed="false" customWidth="true" hidden="false" outlineLevel="0" max="12788" min="12788" style="0" width="2.42"/>
    <col collapsed="false" customWidth="true" hidden="false" outlineLevel="0" max="13013" min="13013" style="0" width="2.86"/>
    <col collapsed="false" customWidth="true" hidden="false" outlineLevel="0" max="13014" min="13014" style="0" width="2"/>
    <col collapsed="false" customWidth="true" hidden="false" outlineLevel="0" max="13016" min="13016" style="0" width="2"/>
    <col collapsed="false" customWidth="true" hidden="false" outlineLevel="0" max="13018" min="13018" style="0" width="2"/>
    <col collapsed="false" customWidth="true" hidden="false" outlineLevel="0" max="13020" min="13020" style="0" width="2"/>
    <col collapsed="false" customWidth="true" hidden="false" outlineLevel="0" max="13022" min="13022" style="0" width="2"/>
    <col collapsed="false" customWidth="true" hidden="false" outlineLevel="0" max="13023" min="13023" style="0" width="2.86"/>
    <col collapsed="false" customWidth="true" hidden="false" outlineLevel="0" max="13024" min="13024" style="0" width="2.42"/>
    <col collapsed="false" customWidth="true" hidden="false" outlineLevel="0" max="13026" min="13026" style="0" width="2.42"/>
    <col collapsed="false" customWidth="true" hidden="false" outlineLevel="0" max="13028" min="13028" style="0" width="2.42"/>
    <col collapsed="false" customWidth="true" hidden="false" outlineLevel="0" max="13029" min="13029" style="0" width="11.71"/>
    <col collapsed="false" customWidth="true" hidden="false" outlineLevel="0" max="13030" min="13030" style="0" width="2.42"/>
    <col collapsed="false" customWidth="true" hidden="false" outlineLevel="0" max="13032" min="13032" style="0" width="4.71"/>
    <col collapsed="false" customWidth="true" hidden="false" outlineLevel="0" max="13033" min="13033" style="0" width="2.42"/>
    <col collapsed="false" customWidth="true" hidden="false" outlineLevel="0" max="13034" min="13034" style="0" width="4"/>
    <col collapsed="false" customWidth="true" hidden="false" outlineLevel="0" max="13035" min="13035" style="0" width="2.42"/>
    <col collapsed="false" customWidth="true" hidden="false" outlineLevel="0" max="13037" min="13037" style="0" width="2.42"/>
    <col collapsed="false" customWidth="true" hidden="false" outlineLevel="0" max="13039" min="13039" style="0" width="2.42"/>
    <col collapsed="false" customWidth="true" hidden="false" outlineLevel="0" max="13040" min="13040" style="0" width="11.71"/>
    <col collapsed="false" customWidth="true" hidden="false" outlineLevel="0" max="13041" min="13041" style="0" width="2.42"/>
    <col collapsed="false" customWidth="true" hidden="false" outlineLevel="0" max="13043" min="13043" style="0" width="4.71"/>
    <col collapsed="false" customWidth="true" hidden="false" outlineLevel="0" max="13044" min="13044" style="0" width="2.42"/>
    <col collapsed="false" customWidth="true" hidden="false" outlineLevel="0" max="13269" min="13269" style="0" width="2.86"/>
    <col collapsed="false" customWidth="true" hidden="false" outlineLevel="0" max="13270" min="13270" style="0" width="2"/>
    <col collapsed="false" customWidth="true" hidden="false" outlineLevel="0" max="13272" min="13272" style="0" width="2"/>
    <col collapsed="false" customWidth="true" hidden="false" outlineLevel="0" max="13274" min="13274" style="0" width="2"/>
    <col collapsed="false" customWidth="true" hidden="false" outlineLevel="0" max="13276" min="13276" style="0" width="2"/>
    <col collapsed="false" customWidth="true" hidden="false" outlineLevel="0" max="13278" min="13278" style="0" width="2"/>
    <col collapsed="false" customWidth="true" hidden="false" outlineLevel="0" max="13279" min="13279" style="0" width="2.86"/>
    <col collapsed="false" customWidth="true" hidden="false" outlineLevel="0" max="13280" min="13280" style="0" width="2.42"/>
    <col collapsed="false" customWidth="true" hidden="false" outlineLevel="0" max="13282" min="13282" style="0" width="2.42"/>
    <col collapsed="false" customWidth="true" hidden="false" outlineLevel="0" max="13284" min="13284" style="0" width="2.42"/>
    <col collapsed="false" customWidth="true" hidden="false" outlineLevel="0" max="13285" min="13285" style="0" width="11.71"/>
    <col collapsed="false" customWidth="true" hidden="false" outlineLevel="0" max="13286" min="13286" style="0" width="2.42"/>
    <col collapsed="false" customWidth="true" hidden="false" outlineLevel="0" max="13288" min="13288" style="0" width="4.71"/>
    <col collapsed="false" customWidth="true" hidden="false" outlineLevel="0" max="13289" min="13289" style="0" width="2.42"/>
    <col collapsed="false" customWidth="true" hidden="false" outlineLevel="0" max="13290" min="13290" style="0" width="4"/>
    <col collapsed="false" customWidth="true" hidden="false" outlineLevel="0" max="13291" min="13291" style="0" width="2.42"/>
    <col collapsed="false" customWidth="true" hidden="false" outlineLevel="0" max="13293" min="13293" style="0" width="2.42"/>
    <col collapsed="false" customWidth="true" hidden="false" outlineLevel="0" max="13295" min="13295" style="0" width="2.42"/>
    <col collapsed="false" customWidth="true" hidden="false" outlineLevel="0" max="13296" min="13296" style="0" width="11.71"/>
    <col collapsed="false" customWidth="true" hidden="false" outlineLevel="0" max="13297" min="13297" style="0" width="2.42"/>
    <col collapsed="false" customWidth="true" hidden="false" outlineLevel="0" max="13299" min="13299" style="0" width="4.71"/>
    <col collapsed="false" customWidth="true" hidden="false" outlineLevel="0" max="13300" min="13300" style="0" width="2.42"/>
    <col collapsed="false" customWidth="true" hidden="false" outlineLevel="0" max="13525" min="13525" style="0" width="2.86"/>
    <col collapsed="false" customWidth="true" hidden="false" outlineLevel="0" max="13526" min="13526" style="0" width="2"/>
    <col collapsed="false" customWidth="true" hidden="false" outlineLevel="0" max="13528" min="13528" style="0" width="2"/>
    <col collapsed="false" customWidth="true" hidden="false" outlineLevel="0" max="13530" min="13530" style="0" width="2"/>
    <col collapsed="false" customWidth="true" hidden="false" outlineLevel="0" max="13532" min="13532" style="0" width="2"/>
    <col collapsed="false" customWidth="true" hidden="false" outlineLevel="0" max="13534" min="13534" style="0" width="2"/>
    <col collapsed="false" customWidth="true" hidden="false" outlineLevel="0" max="13535" min="13535" style="0" width="2.86"/>
    <col collapsed="false" customWidth="true" hidden="false" outlineLevel="0" max="13536" min="13536" style="0" width="2.42"/>
    <col collapsed="false" customWidth="true" hidden="false" outlineLevel="0" max="13538" min="13538" style="0" width="2.42"/>
    <col collapsed="false" customWidth="true" hidden="false" outlineLevel="0" max="13540" min="13540" style="0" width="2.42"/>
    <col collapsed="false" customWidth="true" hidden="false" outlineLevel="0" max="13541" min="13541" style="0" width="11.71"/>
    <col collapsed="false" customWidth="true" hidden="false" outlineLevel="0" max="13542" min="13542" style="0" width="2.42"/>
    <col collapsed="false" customWidth="true" hidden="false" outlineLevel="0" max="13544" min="13544" style="0" width="4.71"/>
    <col collapsed="false" customWidth="true" hidden="false" outlineLevel="0" max="13545" min="13545" style="0" width="2.42"/>
    <col collapsed="false" customWidth="true" hidden="false" outlineLevel="0" max="13546" min="13546" style="0" width="4"/>
    <col collapsed="false" customWidth="true" hidden="false" outlineLevel="0" max="13547" min="13547" style="0" width="2.42"/>
    <col collapsed="false" customWidth="true" hidden="false" outlineLevel="0" max="13549" min="13549" style="0" width="2.42"/>
    <col collapsed="false" customWidth="true" hidden="false" outlineLevel="0" max="13551" min="13551" style="0" width="2.42"/>
    <col collapsed="false" customWidth="true" hidden="false" outlineLevel="0" max="13552" min="13552" style="0" width="11.71"/>
    <col collapsed="false" customWidth="true" hidden="false" outlineLevel="0" max="13553" min="13553" style="0" width="2.42"/>
    <col collapsed="false" customWidth="true" hidden="false" outlineLevel="0" max="13555" min="13555" style="0" width="4.71"/>
    <col collapsed="false" customWidth="true" hidden="false" outlineLevel="0" max="13556" min="13556" style="0" width="2.42"/>
    <col collapsed="false" customWidth="true" hidden="false" outlineLevel="0" max="13781" min="13781" style="0" width="2.86"/>
    <col collapsed="false" customWidth="true" hidden="false" outlineLevel="0" max="13782" min="13782" style="0" width="2"/>
    <col collapsed="false" customWidth="true" hidden="false" outlineLevel="0" max="13784" min="13784" style="0" width="2"/>
    <col collapsed="false" customWidth="true" hidden="false" outlineLevel="0" max="13786" min="13786" style="0" width="2"/>
    <col collapsed="false" customWidth="true" hidden="false" outlineLevel="0" max="13788" min="13788" style="0" width="2"/>
    <col collapsed="false" customWidth="true" hidden="false" outlineLevel="0" max="13790" min="13790" style="0" width="2"/>
    <col collapsed="false" customWidth="true" hidden="false" outlineLevel="0" max="13791" min="13791" style="0" width="2.86"/>
    <col collapsed="false" customWidth="true" hidden="false" outlineLevel="0" max="13792" min="13792" style="0" width="2.42"/>
    <col collapsed="false" customWidth="true" hidden="false" outlineLevel="0" max="13794" min="13794" style="0" width="2.42"/>
    <col collapsed="false" customWidth="true" hidden="false" outlineLevel="0" max="13796" min="13796" style="0" width="2.42"/>
    <col collapsed="false" customWidth="true" hidden="false" outlineLevel="0" max="13797" min="13797" style="0" width="11.71"/>
    <col collapsed="false" customWidth="true" hidden="false" outlineLevel="0" max="13798" min="13798" style="0" width="2.42"/>
    <col collapsed="false" customWidth="true" hidden="false" outlineLevel="0" max="13800" min="13800" style="0" width="4.71"/>
    <col collapsed="false" customWidth="true" hidden="false" outlineLevel="0" max="13801" min="13801" style="0" width="2.42"/>
    <col collapsed="false" customWidth="true" hidden="false" outlineLevel="0" max="13802" min="13802" style="0" width="4"/>
    <col collapsed="false" customWidth="true" hidden="false" outlineLevel="0" max="13803" min="13803" style="0" width="2.42"/>
    <col collapsed="false" customWidth="true" hidden="false" outlineLevel="0" max="13805" min="13805" style="0" width="2.42"/>
    <col collapsed="false" customWidth="true" hidden="false" outlineLevel="0" max="13807" min="13807" style="0" width="2.42"/>
    <col collapsed="false" customWidth="true" hidden="false" outlineLevel="0" max="13808" min="13808" style="0" width="11.71"/>
    <col collapsed="false" customWidth="true" hidden="false" outlineLevel="0" max="13809" min="13809" style="0" width="2.42"/>
    <col collapsed="false" customWidth="true" hidden="false" outlineLevel="0" max="13811" min="13811" style="0" width="4.71"/>
    <col collapsed="false" customWidth="true" hidden="false" outlineLevel="0" max="13812" min="13812" style="0" width="2.42"/>
    <col collapsed="false" customWidth="true" hidden="false" outlineLevel="0" max="14037" min="14037" style="0" width="2.86"/>
    <col collapsed="false" customWidth="true" hidden="false" outlineLevel="0" max="14038" min="14038" style="0" width="2"/>
    <col collapsed="false" customWidth="true" hidden="false" outlineLevel="0" max="14040" min="14040" style="0" width="2"/>
    <col collapsed="false" customWidth="true" hidden="false" outlineLevel="0" max="14042" min="14042" style="0" width="2"/>
    <col collapsed="false" customWidth="true" hidden="false" outlineLevel="0" max="14044" min="14044" style="0" width="2"/>
    <col collapsed="false" customWidth="true" hidden="false" outlineLevel="0" max="14046" min="14046" style="0" width="2"/>
    <col collapsed="false" customWidth="true" hidden="false" outlineLevel="0" max="14047" min="14047" style="0" width="2.86"/>
    <col collapsed="false" customWidth="true" hidden="false" outlineLevel="0" max="14048" min="14048" style="0" width="2.42"/>
    <col collapsed="false" customWidth="true" hidden="false" outlineLevel="0" max="14050" min="14050" style="0" width="2.42"/>
    <col collapsed="false" customWidth="true" hidden="false" outlineLevel="0" max="14052" min="14052" style="0" width="2.42"/>
    <col collapsed="false" customWidth="true" hidden="false" outlineLevel="0" max="14053" min="14053" style="0" width="11.71"/>
    <col collapsed="false" customWidth="true" hidden="false" outlineLevel="0" max="14054" min="14054" style="0" width="2.42"/>
    <col collapsed="false" customWidth="true" hidden="false" outlineLevel="0" max="14056" min="14056" style="0" width="4.71"/>
    <col collapsed="false" customWidth="true" hidden="false" outlineLevel="0" max="14057" min="14057" style="0" width="2.42"/>
    <col collapsed="false" customWidth="true" hidden="false" outlineLevel="0" max="14058" min="14058" style="0" width="4"/>
    <col collapsed="false" customWidth="true" hidden="false" outlineLevel="0" max="14059" min="14059" style="0" width="2.42"/>
    <col collapsed="false" customWidth="true" hidden="false" outlineLevel="0" max="14061" min="14061" style="0" width="2.42"/>
    <col collapsed="false" customWidth="true" hidden="false" outlineLevel="0" max="14063" min="14063" style="0" width="2.42"/>
    <col collapsed="false" customWidth="true" hidden="false" outlineLevel="0" max="14064" min="14064" style="0" width="11.71"/>
    <col collapsed="false" customWidth="true" hidden="false" outlineLevel="0" max="14065" min="14065" style="0" width="2.42"/>
    <col collapsed="false" customWidth="true" hidden="false" outlineLevel="0" max="14067" min="14067" style="0" width="4.71"/>
    <col collapsed="false" customWidth="true" hidden="false" outlineLevel="0" max="14068" min="14068" style="0" width="2.42"/>
    <col collapsed="false" customWidth="true" hidden="false" outlineLevel="0" max="14293" min="14293" style="0" width="2.86"/>
    <col collapsed="false" customWidth="true" hidden="false" outlineLevel="0" max="14294" min="14294" style="0" width="2"/>
    <col collapsed="false" customWidth="true" hidden="false" outlineLevel="0" max="14296" min="14296" style="0" width="2"/>
    <col collapsed="false" customWidth="true" hidden="false" outlineLevel="0" max="14298" min="14298" style="0" width="2"/>
    <col collapsed="false" customWidth="true" hidden="false" outlineLevel="0" max="14300" min="14300" style="0" width="2"/>
    <col collapsed="false" customWidth="true" hidden="false" outlineLevel="0" max="14302" min="14302" style="0" width="2"/>
    <col collapsed="false" customWidth="true" hidden="false" outlineLevel="0" max="14303" min="14303" style="0" width="2.86"/>
    <col collapsed="false" customWidth="true" hidden="false" outlineLevel="0" max="14304" min="14304" style="0" width="2.42"/>
    <col collapsed="false" customWidth="true" hidden="false" outlineLevel="0" max="14306" min="14306" style="0" width="2.42"/>
    <col collapsed="false" customWidth="true" hidden="false" outlineLevel="0" max="14308" min="14308" style="0" width="2.42"/>
    <col collapsed="false" customWidth="true" hidden="false" outlineLevel="0" max="14309" min="14309" style="0" width="11.71"/>
    <col collapsed="false" customWidth="true" hidden="false" outlineLevel="0" max="14310" min="14310" style="0" width="2.42"/>
    <col collapsed="false" customWidth="true" hidden="false" outlineLevel="0" max="14312" min="14312" style="0" width="4.71"/>
    <col collapsed="false" customWidth="true" hidden="false" outlineLevel="0" max="14313" min="14313" style="0" width="2.42"/>
    <col collapsed="false" customWidth="true" hidden="false" outlineLevel="0" max="14314" min="14314" style="0" width="4"/>
    <col collapsed="false" customWidth="true" hidden="false" outlineLevel="0" max="14315" min="14315" style="0" width="2.42"/>
    <col collapsed="false" customWidth="true" hidden="false" outlineLevel="0" max="14317" min="14317" style="0" width="2.42"/>
    <col collapsed="false" customWidth="true" hidden="false" outlineLevel="0" max="14319" min="14319" style="0" width="2.42"/>
    <col collapsed="false" customWidth="true" hidden="false" outlineLevel="0" max="14320" min="14320" style="0" width="11.71"/>
    <col collapsed="false" customWidth="true" hidden="false" outlineLevel="0" max="14321" min="14321" style="0" width="2.42"/>
    <col collapsed="false" customWidth="true" hidden="false" outlineLevel="0" max="14323" min="14323" style="0" width="4.71"/>
    <col collapsed="false" customWidth="true" hidden="false" outlineLevel="0" max="14324" min="14324" style="0" width="2.42"/>
    <col collapsed="false" customWidth="true" hidden="false" outlineLevel="0" max="14549" min="14549" style="0" width="2.86"/>
    <col collapsed="false" customWidth="true" hidden="false" outlineLevel="0" max="14550" min="14550" style="0" width="2"/>
    <col collapsed="false" customWidth="true" hidden="false" outlineLevel="0" max="14552" min="14552" style="0" width="2"/>
    <col collapsed="false" customWidth="true" hidden="false" outlineLevel="0" max="14554" min="14554" style="0" width="2"/>
    <col collapsed="false" customWidth="true" hidden="false" outlineLevel="0" max="14556" min="14556" style="0" width="2"/>
    <col collapsed="false" customWidth="true" hidden="false" outlineLevel="0" max="14558" min="14558" style="0" width="2"/>
    <col collapsed="false" customWidth="true" hidden="false" outlineLevel="0" max="14559" min="14559" style="0" width="2.86"/>
    <col collapsed="false" customWidth="true" hidden="false" outlineLevel="0" max="14560" min="14560" style="0" width="2.42"/>
    <col collapsed="false" customWidth="true" hidden="false" outlineLevel="0" max="14562" min="14562" style="0" width="2.42"/>
    <col collapsed="false" customWidth="true" hidden="false" outlineLevel="0" max="14564" min="14564" style="0" width="2.42"/>
    <col collapsed="false" customWidth="true" hidden="false" outlineLevel="0" max="14565" min="14565" style="0" width="11.71"/>
    <col collapsed="false" customWidth="true" hidden="false" outlineLevel="0" max="14566" min="14566" style="0" width="2.42"/>
    <col collapsed="false" customWidth="true" hidden="false" outlineLevel="0" max="14568" min="14568" style="0" width="4.71"/>
    <col collapsed="false" customWidth="true" hidden="false" outlineLevel="0" max="14569" min="14569" style="0" width="2.42"/>
    <col collapsed="false" customWidth="true" hidden="false" outlineLevel="0" max="14570" min="14570" style="0" width="4"/>
    <col collapsed="false" customWidth="true" hidden="false" outlineLevel="0" max="14571" min="14571" style="0" width="2.42"/>
    <col collapsed="false" customWidth="true" hidden="false" outlineLevel="0" max="14573" min="14573" style="0" width="2.42"/>
    <col collapsed="false" customWidth="true" hidden="false" outlineLevel="0" max="14575" min="14575" style="0" width="2.42"/>
    <col collapsed="false" customWidth="true" hidden="false" outlineLevel="0" max="14576" min="14576" style="0" width="11.71"/>
    <col collapsed="false" customWidth="true" hidden="false" outlineLevel="0" max="14577" min="14577" style="0" width="2.42"/>
    <col collapsed="false" customWidth="true" hidden="false" outlineLevel="0" max="14579" min="14579" style="0" width="4.71"/>
    <col collapsed="false" customWidth="true" hidden="false" outlineLevel="0" max="14580" min="14580" style="0" width="2.42"/>
    <col collapsed="false" customWidth="true" hidden="false" outlineLevel="0" max="14805" min="14805" style="0" width="2.86"/>
    <col collapsed="false" customWidth="true" hidden="false" outlineLevel="0" max="14806" min="14806" style="0" width="2"/>
    <col collapsed="false" customWidth="true" hidden="false" outlineLevel="0" max="14808" min="14808" style="0" width="2"/>
    <col collapsed="false" customWidth="true" hidden="false" outlineLevel="0" max="14810" min="14810" style="0" width="2"/>
    <col collapsed="false" customWidth="true" hidden="false" outlineLevel="0" max="14812" min="14812" style="0" width="2"/>
    <col collapsed="false" customWidth="true" hidden="false" outlineLevel="0" max="14814" min="14814" style="0" width="2"/>
    <col collapsed="false" customWidth="true" hidden="false" outlineLevel="0" max="14815" min="14815" style="0" width="2.86"/>
    <col collapsed="false" customWidth="true" hidden="false" outlineLevel="0" max="14816" min="14816" style="0" width="2.42"/>
    <col collapsed="false" customWidth="true" hidden="false" outlineLevel="0" max="14818" min="14818" style="0" width="2.42"/>
    <col collapsed="false" customWidth="true" hidden="false" outlineLevel="0" max="14820" min="14820" style="0" width="2.42"/>
    <col collapsed="false" customWidth="true" hidden="false" outlineLevel="0" max="14821" min="14821" style="0" width="11.71"/>
    <col collapsed="false" customWidth="true" hidden="false" outlineLevel="0" max="14822" min="14822" style="0" width="2.42"/>
    <col collapsed="false" customWidth="true" hidden="false" outlineLevel="0" max="14824" min="14824" style="0" width="4.71"/>
    <col collapsed="false" customWidth="true" hidden="false" outlineLevel="0" max="14825" min="14825" style="0" width="2.42"/>
    <col collapsed="false" customWidth="true" hidden="false" outlineLevel="0" max="14826" min="14826" style="0" width="4"/>
    <col collapsed="false" customWidth="true" hidden="false" outlineLevel="0" max="14827" min="14827" style="0" width="2.42"/>
    <col collapsed="false" customWidth="true" hidden="false" outlineLevel="0" max="14829" min="14829" style="0" width="2.42"/>
    <col collapsed="false" customWidth="true" hidden="false" outlineLevel="0" max="14831" min="14831" style="0" width="2.42"/>
    <col collapsed="false" customWidth="true" hidden="false" outlineLevel="0" max="14832" min="14832" style="0" width="11.71"/>
    <col collapsed="false" customWidth="true" hidden="false" outlineLevel="0" max="14833" min="14833" style="0" width="2.42"/>
    <col collapsed="false" customWidth="true" hidden="false" outlineLevel="0" max="14835" min="14835" style="0" width="4.71"/>
    <col collapsed="false" customWidth="true" hidden="false" outlineLevel="0" max="14836" min="14836" style="0" width="2.42"/>
    <col collapsed="false" customWidth="true" hidden="false" outlineLevel="0" max="15061" min="15061" style="0" width="2.86"/>
    <col collapsed="false" customWidth="true" hidden="false" outlineLevel="0" max="15062" min="15062" style="0" width="2"/>
    <col collapsed="false" customWidth="true" hidden="false" outlineLevel="0" max="15064" min="15064" style="0" width="2"/>
    <col collapsed="false" customWidth="true" hidden="false" outlineLevel="0" max="15066" min="15066" style="0" width="2"/>
    <col collapsed="false" customWidth="true" hidden="false" outlineLevel="0" max="15068" min="15068" style="0" width="2"/>
    <col collapsed="false" customWidth="true" hidden="false" outlineLevel="0" max="15070" min="15070" style="0" width="2"/>
    <col collapsed="false" customWidth="true" hidden="false" outlineLevel="0" max="15071" min="15071" style="0" width="2.86"/>
    <col collapsed="false" customWidth="true" hidden="false" outlineLevel="0" max="15072" min="15072" style="0" width="2.42"/>
    <col collapsed="false" customWidth="true" hidden="false" outlineLevel="0" max="15074" min="15074" style="0" width="2.42"/>
    <col collapsed="false" customWidth="true" hidden="false" outlineLevel="0" max="15076" min="15076" style="0" width="2.42"/>
    <col collapsed="false" customWidth="true" hidden="false" outlineLevel="0" max="15077" min="15077" style="0" width="11.71"/>
    <col collapsed="false" customWidth="true" hidden="false" outlineLevel="0" max="15078" min="15078" style="0" width="2.42"/>
    <col collapsed="false" customWidth="true" hidden="false" outlineLevel="0" max="15080" min="15080" style="0" width="4.71"/>
    <col collapsed="false" customWidth="true" hidden="false" outlineLevel="0" max="15081" min="15081" style="0" width="2.42"/>
    <col collapsed="false" customWidth="true" hidden="false" outlineLevel="0" max="15082" min="15082" style="0" width="4"/>
    <col collapsed="false" customWidth="true" hidden="false" outlineLevel="0" max="15083" min="15083" style="0" width="2.42"/>
    <col collapsed="false" customWidth="true" hidden="false" outlineLevel="0" max="15085" min="15085" style="0" width="2.42"/>
    <col collapsed="false" customWidth="true" hidden="false" outlineLevel="0" max="15087" min="15087" style="0" width="2.42"/>
    <col collapsed="false" customWidth="true" hidden="false" outlineLevel="0" max="15088" min="15088" style="0" width="11.71"/>
    <col collapsed="false" customWidth="true" hidden="false" outlineLevel="0" max="15089" min="15089" style="0" width="2.42"/>
    <col collapsed="false" customWidth="true" hidden="false" outlineLevel="0" max="15091" min="15091" style="0" width="4.71"/>
    <col collapsed="false" customWidth="true" hidden="false" outlineLevel="0" max="15092" min="15092" style="0" width="2.42"/>
    <col collapsed="false" customWidth="true" hidden="false" outlineLevel="0" max="15317" min="15317" style="0" width="2.86"/>
    <col collapsed="false" customWidth="true" hidden="false" outlineLevel="0" max="15318" min="15318" style="0" width="2"/>
    <col collapsed="false" customWidth="true" hidden="false" outlineLevel="0" max="15320" min="15320" style="0" width="2"/>
    <col collapsed="false" customWidth="true" hidden="false" outlineLevel="0" max="15322" min="15322" style="0" width="2"/>
    <col collapsed="false" customWidth="true" hidden="false" outlineLevel="0" max="15324" min="15324" style="0" width="2"/>
    <col collapsed="false" customWidth="true" hidden="false" outlineLevel="0" max="15326" min="15326" style="0" width="2"/>
    <col collapsed="false" customWidth="true" hidden="false" outlineLevel="0" max="15327" min="15327" style="0" width="2.86"/>
    <col collapsed="false" customWidth="true" hidden="false" outlineLevel="0" max="15328" min="15328" style="0" width="2.42"/>
    <col collapsed="false" customWidth="true" hidden="false" outlineLevel="0" max="15330" min="15330" style="0" width="2.42"/>
    <col collapsed="false" customWidth="true" hidden="false" outlineLevel="0" max="15332" min="15332" style="0" width="2.42"/>
    <col collapsed="false" customWidth="true" hidden="false" outlineLevel="0" max="15333" min="15333" style="0" width="11.71"/>
    <col collapsed="false" customWidth="true" hidden="false" outlineLevel="0" max="15334" min="15334" style="0" width="2.42"/>
    <col collapsed="false" customWidth="true" hidden="false" outlineLevel="0" max="15336" min="15336" style="0" width="4.71"/>
    <col collapsed="false" customWidth="true" hidden="false" outlineLevel="0" max="15337" min="15337" style="0" width="2.42"/>
    <col collapsed="false" customWidth="true" hidden="false" outlineLevel="0" max="15338" min="15338" style="0" width="4"/>
    <col collapsed="false" customWidth="true" hidden="false" outlineLevel="0" max="15339" min="15339" style="0" width="2.42"/>
    <col collapsed="false" customWidth="true" hidden="false" outlineLevel="0" max="15341" min="15341" style="0" width="2.42"/>
    <col collapsed="false" customWidth="true" hidden="false" outlineLevel="0" max="15343" min="15343" style="0" width="2.42"/>
    <col collapsed="false" customWidth="true" hidden="false" outlineLevel="0" max="15344" min="15344" style="0" width="11.71"/>
    <col collapsed="false" customWidth="true" hidden="false" outlineLevel="0" max="15345" min="15345" style="0" width="2.42"/>
    <col collapsed="false" customWidth="true" hidden="false" outlineLevel="0" max="15347" min="15347" style="0" width="4.71"/>
    <col collapsed="false" customWidth="true" hidden="false" outlineLevel="0" max="15348" min="15348" style="0" width="2.42"/>
    <col collapsed="false" customWidth="true" hidden="false" outlineLevel="0" max="15573" min="15573" style="0" width="2.86"/>
    <col collapsed="false" customWidth="true" hidden="false" outlineLevel="0" max="15574" min="15574" style="0" width="2"/>
    <col collapsed="false" customWidth="true" hidden="false" outlineLevel="0" max="15576" min="15576" style="0" width="2"/>
    <col collapsed="false" customWidth="true" hidden="false" outlineLevel="0" max="15578" min="15578" style="0" width="2"/>
    <col collapsed="false" customWidth="true" hidden="false" outlineLevel="0" max="15580" min="15580" style="0" width="2"/>
    <col collapsed="false" customWidth="true" hidden="false" outlineLevel="0" max="15582" min="15582" style="0" width="2"/>
    <col collapsed="false" customWidth="true" hidden="false" outlineLevel="0" max="15583" min="15583" style="0" width="2.86"/>
    <col collapsed="false" customWidth="true" hidden="false" outlineLevel="0" max="15584" min="15584" style="0" width="2.42"/>
    <col collapsed="false" customWidth="true" hidden="false" outlineLevel="0" max="15586" min="15586" style="0" width="2.42"/>
    <col collapsed="false" customWidth="true" hidden="false" outlineLevel="0" max="15588" min="15588" style="0" width="2.42"/>
    <col collapsed="false" customWidth="true" hidden="false" outlineLevel="0" max="15589" min="15589" style="0" width="11.71"/>
    <col collapsed="false" customWidth="true" hidden="false" outlineLevel="0" max="15590" min="15590" style="0" width="2.42"/>
    <col collapsed="false" customWidth="true" hidden="false" outlineLevel="0" max="15592" min="15592" style="0" width="4.71"/>
    <col collapsed="false" customWidth="true" hidden="false" outlineLevel="0" max="15593" min="15593" style="0" width="2.42"/>
    <col collapsed="false" customWidth="true" hidden="false" outlineLevel="0" max="15594" min="15594" style="0" width="4"/>
    <col collapsed="false" customWidth="true" hidden="false" outlineLevel="0" max="15595" min="15595" style="0" width="2.42"/>
    <col collapsed="false" customWidth="true" hidden="false" outlineLevel="0" max="15597" min="15597" style="0" width="2.42"/>
    <col collapsed="false" customWidth="true" hidden="false" outlineLevel="0" max="15599" min="15599" style="0" width="2.42"/>
    <col collapsed="false" customWidth="true" hidden="false" outlineLevel="0" max="15600" min="15600" style="0" width="11.71"/>
    <col collapsed="false" customWidth="true" hidden="false" outlineLevel="0" max="15601" min="15601" style="0" width="2.42"/>
    <col collapsed="false" customWidth="true" hidden="false" outlineLevel="0" max="15603" min="15603" style="0" width="4.71"/>
    <col collapsed="false" customWidth="true" hidden="false" outlineLevel="0" max="15604" min="15604" style="0" width="2.42"/>
    <col collapsed="false" customWidth="true" hidden="false" outlineLevel="0" max="15829" min="15829" style="0" width="2.86"/>
    <col collapsed="false" customWidth="true" hidden="false" outlineLevel="0" max="15830" min="15830" style="0" width="2"/>
    <col collapsed="false" customWidth="true" hidden="false" outlineLevel="0" max="15832" min="15832" style="0" width="2"/>
    <col collapsed="false" customWidth="true" hidden="false" outlineLevel="0" max="15834" min="15834" style="0" width="2"/>
    <col collapsed="false" customWidth="true" hidden="false" outlineLevel="0" max="15836" min="15836" style="0" width="2"/>
    <col collapsed="false" customWidth="true" hidden="false" outlineLevel="0" max="15838" min="15838" style="0" width="2"/>
    <col collapsed="false" customWidth="true" hidden="false" outlineLevel="0" max="15839" min="15839" style="0" width="2.86"/>
    <col collapsed="false" customWidth="true" hidden="false" outlineLevel="0" max="15840" min="15840" style="0" width="2.42"/>
    <col collapsed="false" customWidth="true" hidden="false" outlineLevel="0" max="15842" min="15842" style="0" width="2.42"/>
    <col collapsed="false" customWidth="true" hidden="false" outlineLevel="0" max="15844" min="15844" style="0" width="2.42"/>
    <col collapsed="false" customWidth="true" hidden="false" outlineLevel="0" max="15845" min="15845" style="0" width="11.71"/>
    <col collapsed="false" customWidth="true" hidden="false" outlineLevel="0" max="15846" min="15846" style="0" width="2.42"/>
    <col collapsed="false" customWidth="true" hidden="false" outlineLevel="0" max="15848" min="15848" style="0" width="4.71"/>
    <col collapsed="false" customWidth="true" hidden="false" outlineLevel="0" max="15849" min="15849" style="0" width="2.42"/>
    <col collapsed="false" customWidth="true" hidden="false" outlineLevel="0" max="15850" min="15850" style="0" width="4"/>
    <col collapsed="false" customWidth="true" hidden="false" outlineLevel="0" max="15851" min="15851" style="0" width="2.42"/>
    <col collapsed="false" customWidth="true" hidden="false" outlineLevel="0" max="15853" min="15853" style="0" width="2.42"/>
    <col collapsed="false" customWidth="true" hidden="false" outlineLevel="0" max="15855" min="15855" style="0" width="2.42"/>
    <col collapsed="false" customWidth="true" hidden="false" outlineLevel="0" max="15856" min="15856" style="0" width="11.71"/>
    <col collapsed="false" customWidth="true" hidden="false" outlineLevel="0" max="15857" min="15857" style="0" width="2.42"/>
    <col collapsed="false" customWidth="true" hidden="false" outlineLevel="0" max="15859" min="15859" style="0" width="4.71"/>
    <col collapsed="false" customWidth="true" hidden="false" outlineLevel="0" max="15860" min="15860" style="0" width="2.42"/>
    <col collapsed="false" customWidth="true" hidden="false" outlineLevel="0" max="16085" min="16085" style="0" width="2.86"/>
    <col collapsed="false" customWidth="true" hidden="false" outlineLevel="0" max="16086" min="16086" style="0" width="2"/>
    <col collapsed="false" customWidth="true" hidden="false" outlineLevel="0" max="16088" min="16088" style="0" width="2"/>
    <col collapsed="false" customWidth="true" hidden="false" outlineLevel="0" max="16090" min="16090" style="0" width="2"/>
    <col collapsed="false" customWidth="true" hidden="false" outlineLevel="0" max="16092" min="16092" style="0" width="2"/>
    <col collapsed="false" customWidth="true" hidden="false" outlineLevel="0" max="16094" min="16094" style="0" width="2"/>
    <col collapsed="false" customWidth="true" hidden="false" outlineLevel="0" max="16095" min="16095" style="0" width="2.86"/>
    <col collapsed="false" customWidth="true" hidden="false" outlineLevel="0" max="16096" min="16096" style="0" width="2.42"/>
    <col collapsed="false" customWidth="true" hidden="false" outlineLevel="0" max="16098" min="16098" style="0" width="2.42"/>
    <col collapsed="false" customWidth="true" hidden="false" outlineLevel="0" max="16100" min="16100" style="0" width="2.42"/>
    <col collapsed="false" customWidth="true" hidden="false" outlineLevel="0" max="16101" min="16101" style="0" width="11.71"/>
    <col collapsed="false" customWidth="true" hidden="false" outlineLevel="0" max="16102" min="16102" style="0" width="2.42"/>
    <col collapsed="false" customWidth="true" hidden="false" outlineLevel="0" max="16104" min="16104" style="0" width="4.71"/>
    <col collapsed="false" customWidth="true" hidden="false" outlineLevel="0" max="16105" min="16105" style="0" width="2.42"/>
    <col collapsed="false" customWidth="true" hidden="false" outlineLevel="0" max="16106" min="16106" style="0" width="4"/>
    <col collapsed="false" customWidth="true" hidden="false" outlineLevel="0" max="16107" min="16107" style="0" width="2.42"/>
    <col collapsed="false" customWidth="true" hidden="false" outlineLevel="0" max="16109" min="16109" style="0" width="2.42"/>
    <col collapsed="false" customWidth="true" hidden="false" outlineLevel="0" max="16111" min="16111" style="0" width="2.42"/>
    <col collapsed="false" customWidth="true" hidden="false" outlineLevel="0" max="16112" min="16112" style="0" width="11.71"/>
    <col collapsed="false" customWidth="true" hidden="false" outlineLevel="0" max="16113" min="16113" style="0" width="2.42"/>
    <col collapsed="false" customWidth="true" hidden="false" outlineLevel="0" max="16115" min="16115" style="0" width="4.71"/>
    <col collapsed="false" customWidth="true" hidden="false" outlineLevel="0" max="16116" min="16116" style="0" width="2.42"/>
  </cols>
  <sheetData>
    <row r="2" customFormat="false" ht="27" hidden="false" customHeight="true" outlineLevel="0" collapsed="false">
      <c r="C2" s="2" t="s">
        <v>0</v>
      </c>
      <c r="D2" s="2"/>
      <c r="E2" s="3" t="s">
        <v>1</v>
      </c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customFormat="false" ht="27" hidden="false" customHeight="true" outlineLevel="0" collapsed="false">
      <c r="C3" s="5" t="s">
        <v>2</v>
      </c>
      <c r="D3" s="5"/>
      <c r="E3" s="6" t="s">
        <v>3</v>
      </c>
      <c r="F3" s="6"/>
      <c r="G3" s="6"/>
      <c r="H3" s="6"/>
      <c r="I3" s="6"/>
      <c r="J3" s="6"/>
      <c r="K3" s="6"/>
      <c r="L3" s="6"/>
      <c r="M3" s="6"/>
      <c r="N3" s="6"/>
      <c r="O3" s="6"/>
      <c r="P3" s="4"/>
    </row>
    <row r="4" customFormat="false" ht="27" hidden="false" customHeight="true" outlineLevel="0" collapsed="false">
      <c r="C4" s="7" t="s">
        <v>4</v>
      </c>
      <c r="D4" s="7"/>
      <c r="E4" s="8" t="n">
        <v>11</v>
      </c>
      <c r="F4" s="8"/>
      <c r="G4" s="8" t="n">
        <v>12</v>
      </c>
      <c r="H4" s="8"/>
      <c r="I4" s="8" t="n">
        <v>2025</v>
      </c>
      <c r="J4" s="8"/>
      <c r="K4" s="9" t="s">
        <v>5</v>
      </c>
      <c r="L4" s="9"/>
      <c r="M4" s="10" t="n">
        <v>4</v>
      </c>
      <c r="N4" s="10"/>
      <c r="O4" s="10"/>
    </row>
    <row r="5" customFormat="false" ht="15" hidden="false" customHeight="false" outlineLevel="0" collapsed="false">
      <c r="B5" s="11"/>
      <c r="C5" s="11"/>
      <c r="D5" s="11"/>
      <c r="E5" s="11"/>
    </row>
    <row r="6" customFormat="false" ht="10.5" hidden="false" customHeight="true" outlineLevel="0" collapsed="false">
      <c r="B6" s="12"/>
      <c r="C6" s="13"/>
      <c r="D6" s="13"/>
      <c r="E6" s="13"/>
      <c r="F6" s="13"/>
      <c r="G6" s="13"/>
      <c r="H6" s="13"/>
      <c r="I6" s="13"/>
      <c r="J6" s="13"/>
      <c r="K6" s="13"/>
      <c r="L6" s="14"/>
    </row>
    <row r="7" customFormat="false" ht="24.75" hidden="false" customHeight="true" outlineLevel="0" collapsed="false">
      <c r="B7" s="15"/>
      <c r="C7" s="16" t="s">
        <v>6</v>
      </c>
      <c r="D7" s="16"/>
      <c r="E7" s="16"/>
      <c r="F7" s="16"/>
      <c r="G7" s="16"/>
      <c r="H7" s="16"/>
      <c r="I7" s="16"/>
      <c r="J7" s="16"/>
      <c r="K7" s="16"/>
      <c r="L7" s="17"/>
    </row>
    <row r="8" customFormat="false" ht="10.5" hidden="false" customHeight="true" outlineLevel="0" collapsed="false">
      <c r="B8" s="15"/>
      <c r="L8" s="17"/>
    </row>
    <row r="9" customFormat="false" ht="24.75" hidden="false" customHeight="true" outlineLevel="0" collapsed="false">
      <c r="B9" s="18"/>
      <c r="C9" s="19" t="s">
        <v>7</v>
      </c>
      <c r="D9" s="20"/>
      <c r="E9" s="19" t="s">
        <v>8</v>
      </c>
      <c r="F9" s="20"/>
      <c r="G9" s="19" t="s">
        <v>9</v>
      </c>
      <c r="H9" s="20"/>
      <c r="I9" s="19" t="s">
        <v>10</v>
      </c>
      <c r="J9" s="20"/>
      <c r="K9" s="19" t="s">
        <v>11</v>
      </c>
      <c r="L9" s="17"/>
    </row>
    <row r="10" customFormat="false" ht="24.75" hidden="false" customHeight="true" outlineLevel="0" collapsed="false">
      <c r="B10" s="18"/>
      <c r="C10" s="21" t="n">
        <v>26</v>
      </c>
      <c r="D10" s="21"/>
      <c r="E10" s="21" t="n">
        <f aca="false">114.5-2.7</f>
        <v>111.8</v>
      </c>
      <c r="F10" s="21"/>
      <c r="G10" s="21" t="n">
        <f aca="false">E10-C10</f>
        <v>85.8</v>
      </c>
      <c r="H10" s="21"/>
      <c r="I10" s="22" t="n">
        <f aca="false">100/C10</f>
        <v>3.84615384615385</v>
      </c>
      <c r="J10" s="22"/>
      <c r="K10" s="22" t="n">
        <f aca="false">100/G10</f>
        <v>1.16550116550117</v>
      </c>
      <c r="L10" s="17"/>
    </row>
    <row r="11" customFormat="false" ht="24.75" hidden="false" customHeight="true" outlineLevel="0" collapsed="false">
      <c r="B11" s="18"/>
      <c r="C11" s="21" t="n">
        <v>31</v>
      </c>
      <c r="D11" s="21"/>
      <c r="E11" s="21" t="n">
        <f aca="false">86.7</f>
        <v>86.7</v>
      </c>
      <c r="F11" s="21"/>
      <c r="G11" s="21" t="n">
        <f aca="false">E11-C11</f>
        <v>55.7</v>
      </c>
      <c r="H11" s="21"/>
      <c r="I11" s="22" t="n">
        <f aca="false">100/C11</f>
        <v>3.2258064516129</v>
      </c>
      <c r="J11" s="22"/>
      <c r="K11" s="22" t="n">
        <f aca="false">100/G11</f>
        <v>1.79533213644524</v>
      </c>
      <c r="L11" s="17"/>
    </row>
    <row r="12" customFormat="false" ht="24.75" hidden="false" customHeight="true" outlineLevel="0" collapsed="false">
      <c r="B12" s="18"/>
      <c r="C12" s="21" t="n">
        <v>36</v>
      </c>
      <c r="D12" s="21"/>
      <c r="E12" s="21" t="n">
        <f aca="false">83-2.7</f>
        <v>80.3</v>
      </c>
      <c r="F12" s="21"/>
      <c r="G12" s="21" t="n">
        <f aca="false">E12-C12</f>
        <v>44.3</v>
      </c>
      <c r="H12" s="21"/>
      <c r="I12" s="22" t="n">
        <f aca="false">100/C12</f>
        <v>2.77777777777778</v>
      </c>
      <c r="J12" s="22"/>
      <c r="K12" s="22" t="n">
        <f aca="false">100/G12</f>
        <v>2.25733634311512</v>
      </c>
      <c r="L12" s="17"/>
    </row>
    <row r="13" customFormat="false" ht="24.75" hidden="false" customHeight="true" outlineLevel="0" collapsed="false">
      <c r="B13" s="18"/>
      <c r="C13" s="21" t="n">
        <v>41</v>
      </c>
      <c r="D13" s="21"/>
      <c r="E13" s="21" t="n">
        <f aca="false">82.5-2.7</f>
        <v>79.8</v>
      </c>
      <c r="F13" s="21"/>
      <c r="G13" s="21" t="n">
        <f aca="false">E13-C13</f>
        <v>38.8</v>
      </c>
      <c r="H13" s="21"/>
      <c r="I13" s="22" t="n">
        <f aca="false">100/C13</f>
        <v>2.4390243902439</v>
      </c>
      <c r="J13" s="22"/>
      <c r="K13" s="22" t="n">
        <f aca="false">100/G13</f>
        <v>2.57731958762887</v>
      </c>
      <c r="L13" s="17"/>
    </row>
    <row r="14" customFormat="false" ht="24.75" hidden="false" customHeight="true" outlineLevel="0" collapsed="false">
      <c r="B14" s="18"/>
      <c r="C14" s="21" t="n">
        <v>46</v>
      </c>
      <c r="D14" s="21"/>
      <c r="E14" s="21" t="n">
        <f aca="false">83.8-2.7</f>
        <v>81.1</v>
      </c>
      <c r="F14" s="21"/>
      <c r="G14" s="21" t="n">
        <f aca="false">E14-C14</f>
        <v>35.1</v>
      </c>
      <c r="H14" s="21"/>
      <c r="I14" s="22" t="n">
        <f aca="false">100/C14</f>
        <v>2.17391304347826</v>
      </c>
      <c r="J14" s="22"/>
      <c r="K14" s="22" t="n">
        <f aca="false">100/G14</f>
        <v>2.84900284900285</v>
      </c>
      <c r="L14" s="17"/>
    </row>
    <row r="15" customFormat="false" ht="24.75" hidden="false" customHeight="true" outlineLevel="0" collapsed="false">
      <c r="B15" s="18"/>
      <c r="C15" s="21" t="n">
        <v>51</v>
      </c>
      <c r="D15" s="21"/>
      <c r="E15" s="21" t="n">
        <f aca="false">86.6-2.7</f>
        <v>83.9</v>
      </c>
      <c r="F15" s="21"/>
      <c r="G15" s="21" t="n">
        <f aca="false">E15-C15</f>
        <v>32.9</v>
      </c>
      <c r="H15" s="21"/>
      <c r="I15" s="22" t="n">
        <f aca="false">100/C15</f>
        <v>1.96078431372549</v>
      </c>
      <c r="J15" s="22"/>
      <c r="K15" s="22" t="n">
        <f aca="false">100/G15</f>
        <v>3.03951367781155</v>
      </c>
      <c r="L15" s="17"/>
    </row>
    <row r="16" customFormat="false" ht="24.75" hidden="false" customHeight="true" outlineLevel="0" collapsed="false">
      <c r="B16" s="18"/>
      <c r="C16" s="21" t="n">
        <v>56</v>
      </c>
      <c r="D16" s="21"/>
      <c r="E16" s="21" t="n">
        <f aca="false">89.6-2.7</f>
        <v>86.9</v>
      </c>
      <c r="F16" s="21"/>
      <c r="G16" s="21" t="n">
        <f aca="false">E16-C16</f>
        <v>30.9</v>
      </c>
      <c r="H16" s="21"/>
      <c r="I16" s="22" t="n">
        <f aca="false">100/C16</f>
        <v>1.78571428571429</v>
      </c>
      <c r="J16" s="22"/>
      <c r="K16" s="22" t="n">
        <f aca="false">100/G16</f>
        <v>3.23624595469256</v>
      </c>
      <c r="L16" s="17"/>
    </row>
    <row r="17" customFormat="false" ht="10.5" hidden="false" customHeight="true" outlineLevel="0" collapsed="false">
      <c r="B17" s="23"/>
      <c r="C17" s="19"/>
      <c r="D17" s="19"/>
      <c r="E17" s="19"/>
      <c r="F17" s="19"/>
      <c r="G17" s="19"/>
      <c r="H17" s="19"/>
      <c r="I17" s="19"/>
      <c r="J17" s="19"/>
      <c r="K17" s="19"/>
      <c r="L17" s="24"/>
    </row>
    <row r="18" customFormat="false" ht="12" hidden="false" customHeight="true" outlineLevel="0" collapsed="false">
      <c r="B18" s="25"/>
      <c r="C18" s="20"/>
      <c r="D18" s="20"/>
      <c r="E18" s="20"/>
      <c r="F18" s="20"/>
      <c r="G18" s="20"/>
      <c r="H18" s="20"/>
      <c r="I18" s="20"/>
      <c r="J18" s="20"/>
      <c r="K18" s="20"/>
    </row>
    <row r="19" customFormat="false" ht="27" hidden="false" customHeight="true" outlineLevel="0" collapsed="false">
      <c r="B19" s="26" t="s">
        <v>12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</row>
    <row r="20" customFormat="false" ht="27" hidden="false" customHeight="true" outlineLevel="0" collapsed="false"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</row>
    <row r="21" customFormat="false" ht="27" hidden="false" customHeight="true" outlineLevel="0" collapsed="false"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</row>
    <row r="22" customFormat="false" ht="27" hidden="false" customHeight="true" outlineLevel="0" collapsed="false"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  <row r="23" customFormat="false" ht="27" hidden="false" customHeight="true" outlineLevel="0" collapsed="false"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</row>
    <row r="24" customFormat="false" ht="27" hidden="false" customHeight="true" outlineLevel="0" collapsed="false"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</row>
    <row r="25" customFormat="false" ht="27" hidden="false" customHeight="true" outlineLevel="0" collapsed="false"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</row>
    <row r="26" customFormat="false" ht="27" hidden="false" customHeight="true" outlineLevel="0" collapsed="false"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</row>
    <row r="27" customFormat="false" ht="27" hidden="false" customHeight="true" outlineLevel="0" collapsed="false"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</row>
    <row r="28" customFormat="false" ht="27" hidden="false" customHeight="true" outlineLevel="0" collapsed="false"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</row>
    <row r="29" customFormat="false" ht="12" hidden="false" customHeight="true" outlineLevel="0" collapsed="false"/>
    <row r="30" customFormat="false" ht="11.25" hidden="false" customHeight="true" outlineLevel="0" collapsed="false">
      <c r="B30" s="27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9"/>
    </row>
    <row r="31" customFormat="false" ht="15" hidden="false" customHeight="false" outlineLevel="0" collapsed="false">
      <c r="B31" s="15"/>
      <c r="C31" s="30" t="s">
        <v>13</v>
      </c>
      <c r="D31" s="30"/>
      <c r="E31" s="30"/>
      <c r="F31" s="30"/>
      <c r="G31" s="30"/>
      <c r="H31" s="30"/>
      <c r="I31" s="30"/>
      <c r="J31" s="30"/>
      <c r="L31" s="1"/>
      <c r="M31" s="1"/>
      <c r="N31" s="31"/>
    </row>
    <row r="32" customFormat="false" ht="10.5" hidden="false" customHeight="true" outlineLevel="0" collapsed="false">
      <c r="B32" s="15"/>
      <c r="L32" s="1"/>
      <c r="M32" s="20"/>
      <c r="N32" s="31"/>
    </row>
    <row r="33" customFormat="false" ht="22.5" hidden="false" customHeight="true" outlineLevel="0" collapsed="false">
      <c r="B33" s="15"/>
      <c r="C33" s="32" t="s">
        <v>14</v>
      </c>
      <c r="D33" s="32"/>
      <c r="E33" s="32"/>
      <c r="F33" s="32"/>
      <c r="G33" s="32"/>
      <c r="H33" s="32"/>
      <c r="I33" s="32"/>
      <c r="J33" s="32"/>
      <c r="K33" s="32"/>
      <c r="L33" s="32"/>
      <c r="M33" s="33"/>
      <c r="N33" s="31"/>
    </row>
    <row r="34" customFormat="false" ht="18.75" hidden="false" customHeight="true" outlineLevel="0" collapsed="false">
      <c r="B34" s="15"/>
      <c r="C34" s="34" t="s">
        <v>15</v>
      </c>
      <c r="D34" s="35" t="s">
        <v>16</v>
      </c>
      <c r="E34" s="20" t="n">
        <v>1</v>
      </c>
      <c r="F34" s="35" t="s">
        <v>16</v>
      </c>
      <c r="G34" s="20" t="n">
        <v>1</v>
      </c>
      <c r="H34" s="35" t="s">
        <v>16</v>
      </c>
      <c r="I34" s="36" t="n">
        <f aca="false">1/INTERCEPT(K10:K16,I10:I16)*100</f>
        <v>19.9369751590158</v>
      </c>
      <c r="J34" s="36"/>
      <c r="K34" s="37" t="s">
        <v>17</v>
      </c>
      <c r="L34" s="1"/>
      <c r="M34" s="1"/>
      <c r="N34" s="31"/>
    </row>
    <row r="35" customFormat="false" ht="18.75" hidden="false" customHeight="true" outlineLevel="0" collapsed="false">
      <c r="B35" s="15"/>
      <c r="C35" s="34"/>
      <c r="D35" s="35"/>
      <c r="E35" s="20" t="s">
        <v>18</v>
      </c>
      <c r="F35" s="35"/>
      <c r="G35" s="20" t="str">
        <f aca="false">_xlfn.CONCAT(TEXT(INTERCEPT(K10:K16, I10:I16), "0.00"), " m^-1")</f>
        <v>5.02 m^-1</v>
      </c>
      <c r="H35" s="35"/>
      <c r="I35" s="36"/>
      <c r="J35" s="36"/>
      <c r="K35" s="37"/>
      <c r="L35" s="1"/>
      <c r="M35" s="1"/>
      <c r="N35" s="31"/>
    </row>
    <row r="36" customFormat="false" ht="22.5" hidden="false" customHeight="true" outlineLevel="0" collapsed="false">
      <c r="B36" s="15"/>
      <c r="C36" s="32" t="s">
        <v>19</v>
      </c>
      <c r="D36" s="32"/>
      <c r="E36" s="32"/>
      <c r="F36" s="32"/>
      <c r="G36" s="32"/>
      <c r="H36" s="32"/>
      <c r="I36" s="32"/>
      <c r="J36" s="32"/>
      <c r="K36" s="32"/>
      <c r="L36" s="32"/>
      <c r="M36" s="33"/>
      <c r="N36" s="31"/>
    </row>
    <row r="37" customFormat="false" ht="18.75" hidden="false" customHeight="true" outlineLevel="0" collapsed="false">
      <c r="B37" s="15"/>
      <c r="C37" s="34" t="s">
        <v>15</v>
      </c>
      <c r="D37" s="35" t="s">
        <v>16</v>
      </c>
      <c r="E37" s="38" t="s">
        <v>20</v>
      </c>
      <c r="F37" s="35" t="s">
        <v>16</v>
      </c>
      <c r="G37" s="20" t="str">
        <f aca="false">TEXT(-SLOPE(K10:K16,I10:I16),"0.00")</f>
        <v>1.00</v>
      </c>
      <c r="H37" s="35" t="s">
        <v>16</v>
      </c>
      <c r="I37" s="36" t="n">
        <f aca="false">-SLOPE(K10:K16,I10:I16)/INTERCEPT(K10:K16,I10:I16)*100</f>
        <v>19.9164091531396</v>
      </c>
      <c r="J37" s="36"/>
      <c r="K37" s="37" t="s">
        <v>17</v>
      </c>
      <c r="L37" s="1"/>
      <c r="M37" s="1"/>
      <c r="N37" s="31"/>
    </row>
    <row r="38" customFormat="false" ht="18.75" hidden="false" customHeight="true" outlineLevel="0" collapsed="false">
      <c r="B38" s="15"/>
      <c r="C38" s="34"/>
      <c r="D38" s="35"/>
      <c r="E38" s="20" t="s">
        <v>18</v>
      </c>
      <c r="F38" s="35"/>
      <c r="G38" s="20" t="str">
        <f aca="false">G35</f>
        <v>5.02 m^-1</v>
      </c>
      <c r="H38" s="35"/>
      <c r="I38" s="36"/>
      <c r="J38" s="36"/>
      <c r="K38" s="37"/>
      <c r="L38" s="1"/>
      <c r="M38" s="1"/>
      <c r="N38" s="31"/>
    </row>
    <row r="39" customFormat="false" ht="22.5" hidden="false" customHeight="true" outlineLevel="0" collapsed="false">
      <c r="B39" s="15"/>
      <c r="C39" s="39" t="s">
        <v>21</v>
      </c>
      <c r="D39" s="39"/>
      <c r="E39" s="39"/>
      <c r="F39" s="39"/>
      <c r="G39" s="39"/>
      <c r="H39" s="32"/>
      <c r="I39" s="32"/>
      <c r="J39" s="32"/>
      <c r="K39" s="32"/>
      <c r="L39" s="32"/>
      <c r="M39" s="33"/>
      <c r="N39" s="31"/>
    </row>
    <row r="40" customFormat="false" ht="18.75" hidden="false" customHeight="true" outlineLevel="0" collapsed="false">
      <c r="B40" s="15"/>
      <c r="C40" s="34" t="s">
        <v>15</v>
      </c>
      <c r="D40" s="35" t="s">
        <v>16</v>
      </c>
      <c r="E40" s="20" t="s">
        <v>22</v>
      </c>
      <c r="F40" s="35" t="s">
        <v>16</v>
      </c>
      <c r="G40" s="40" t="n">
        <f aca="false">AVERAGE(G34,G37)</f>
        <v>1</v>
      </c>
      <c r="H40" s="40"/>
      <c r="I40" s="40"/>
      <c r="J40" s="35" t="s">
        <v>16</v>
      </c>
      <c r="K40" s="36" t="n">
        <f aca="false">AVERAGE(I34,I37)</f>
        <v>19.9266921560777</v>
      </c>
      <c r="L40" s="16" t="s">
        <v>17</v>
      </c>
      <c r="M40" s="16"/>
      <c r="N40" s="31"/>
    </row>
    <row r="41" customFormat="false" ht="18.75" hidden="false" customHeight="true" outlineLevel="0" collapsed="false">
      <c r="B41" s="15"/>
      <c r="C41" s="34"/>
      <c r="D41" s="35"/>
      <c r="E41" s="20" t="s">
        <v>23</v>
      </c>
      <c r="F41" s="35"/>
      <c r="G41" s="41" t="str">
        <f aca="false">G38</f>
        <v>5.02 m^-1</v>
      </c>
      <c r="H41" s="41"/>
      <c r="I41" s="41"/>
      <c r="J41" s="35"/>
      <c r="K41" s="36"/>
      <c r="L41" s="16"/>
      <c r="M41" s="16"/>
      <c r="N41" s="31"/>
    </row>
    <row r="42" customFormat="false" ht="11.25" hidden="false" customHeight="true" outlineLevel="0" collapsed="false">
      <c r="B42" s="42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43"/>
    </row>
  </sheetData>
  <mergeCells count="32">
    <mergeCell ref="C2:D2"/>
    <mergeCell ref="E2:O2"/>
    <mergeCell ref="C3:D3"/>
    <mergeCell ref="E3:O3"/>
    <mergeCell ref="C4:D4"/>
    <mergeCell ref="K4:L4"/>
    <mergeCell ref="M4:O4"/>
    <mergeCell ref="B5:E5"/>
    <mergeCell ref="C7:K7"/>
    <mergeCell ref="B19:O28"/>
    <mergeCell ref="C31:J31"/>
    <mergeCell ref="C34:C35"/>
    <mergeCell ref="D34:D35"/>
    <mergeCell ref="F34:F35"/>
    <mergeCell ref="H34:H35"/>
    <mergeCell ref="I34:J35"/>
    <mergeCell ref="K34:K35"/>
    <mergeCell ref="C37:C38"/>
    <mergeCell ref="D37:D38"/>
    <mergeCell ref="F37:F38"/>
    <mergeCell ref="H37:H38"/>
    <mergeCell ref="I37:J38"/>
    <mergeCell ref="K37:K38"/>
    <mergeCell ref="C39:G39"/>
    <mergeCell ref="C40:C41"/>
    <mergeCell ref="D40:D41"/>
    <mergeCell ref="F40:F41"/>
    <mergeCell ref="G40:I40"/>
    <mergeCell ref="J40:J41"/>
    <mergeCell ref="K40:K41"/>
    <mergeCell ref="L40:M41"/>
    <mergeCell ref="G41:I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42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I10" activeCellId="0" sqref="I10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2"/>
    <col collapsed="false" customWidth="true" hidden="false" outlineLevel="0" max="3" min="3" style="1" width="9.71"/>
    <col collapsed="false" customWidth="true" hidden="false" outlineLevel="0" max="4" min="4" style="1" width="2"/>
    <col collapsed="false" customWidth="true" hidden="false" outlineLevel="0" max="5" min="5" style="1" width="9.71"/>
    <col collapsed="false" customWidth="true" hidden="false" outlineLevel="0" max="6" min="6" style="1" width="2"/>
    <col collapsed="false" customWidth="true" hidden="false" outlineLevel="0" max="7" min="7" style="1" width="9.71"/>
    <col collapsed="false" customWidth="true" hidden="false" outlineLevel="0" max="8" min="8" style="1" width="2"/>
    <col collapsed="false" customWidth="true" hidden="false" outlineLevel="0" max="9" min="9" style="1" width="9.71"/>
    <col collapsed="false" customWidth="true" hidden="false" outlineLevel="0" max="10" min="10" style="1" width="2"/>
    <col collapsed="false" customWidth="true" hidden="false" outlineLevel="0" max="11" min="11" style="1" width="9.71"/>
    <col collapsed="false" customWidth="true" hidden="false" outlineLevel="0" max="12" min="12" style="0" width="2"/>
    <col collapsed="false" customWidth="true" hidden="false" outlineLevel="0" max="13" min="13" style="0" width="3.86"/>
    <col collapsed="false" customWidth="true" hidden="false" outlineLevel="0" max="14" min="14" style="0" width="2"/>
    <col collapsed="false" customWidth="true" hidden="false" outlineLevel="0" max="15" min="15" style="0" width="8.15"/>
    <col collapsed="false" customWidth="true" hidden="false" outlineLevel="0" max="16" min="16" style="0" width="8.57"/>
    <col collapsed="false" customWidth="true" hidden="false" outlineLevel="0" max="31" min="17" style="0" width="8.68"/>
  </cols>
  <sheetData>
    <row r="2" customFormat="false" ht="27" hidden="false" customHeight="true" outlineLevel="0" collapsed="false">
      <c r="C2" s="2" t="s">
        <v>0</v>
      </c>
      <c r="D2" s="2"/>
      <c r="E2" s="3" t="s">
        <v>1</v>
      </c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customFormat="false" ht="27" hidden="false" customHeight="true" outlineLevel="0" collapsed="false">
      <c r="C3" s="5" t="s">
        <v>2</v>
      </c>
      <c r="D3" s="5"/>
      <c r="E3" s="6" t="s">
        <v>3</v>
      </c>
      <c r="F3" s="6"/>
      <c r="G3" s="6"/>
      <c r="H3" s="6"/>
      <c r="I3" s="6"/>
      <c r="J3" s="6"/>
      <c r="K3" s="6"/>
      <c r="L3" s="6"/>
      <c r="M3" s="6"/>
      <c r="N3" s="6"/>
      <c r="O3" s="6"/>
      <c r="P3" s="4"/>
    </row>
    <row r="4" customFormat="false" ht="27" hidden="false" customHeight="true" outlineLevel="0" collapsed="false">
      <c r="C4" s="7" t="s">
        <v>4</v>
      </c>
      <c r="D4" s="7"/>
      <c r="E4" s="8" t="n">
        <v>11</v>
      </c>
      <c r="F4" s="8"/>
      <c r="G4" s="8" t="n">
        <v>12</v>
      </c>
      <c r="H4" s="8"/>
      <c r="I4" s="8" t="n">
        <v>2025</v>
      </c>
      <c r="J4" s="8"/>
      <c r="K4" s="9" t="s">
        <v>5</v>
      </c>
      <c r="L4" s="9"/>
      <c r="M4" s="10" t="n">
        <v>4</v>
      </c>
      <c r="N4" s="10"/>
      <c r="O4" s="10"/>
    </row>
    <row r="5" customFormat="false" ht="15" hidden="false" customHeight="false" outlineLevel="0" collapsed="false">
      <c r="B5" s="11"/>
      <c r="C5" s="11"/>
      <c r="D5" s="11"/>
      <c r="E5" s="11"/>
    </row>
    <row r="6" customFormat="false" ht="10.5" hidden="false" customHeight="true" outlineLevel="0" collapsed="false">
      <c r="B6" s="12"/>
      <c r="C6" s="13"/>
      <c r="D6" s="13"/>
      <c r="E6" s="13"/>
      <c r="F6" s="13"/>
      <c r="G6" s="13"/>
      <c r="H6" s="13"/>
      <c r="I6" s="13"/>
      <c r="J6" s="13"/>
      <c r="K6" s="13"/>
      <c r="L6" s="14"/>
    </row>
    <row r="7" customFormat="false" ht="24.75" hidden="false" customHeight="true" outlineLevel="0" collapsed="false">
      <c r="B7" s="15"/>
      <c r="C7" s="16" t="s">
        <v>24</v>
      </c>
      <c r="D7" s="16"/>
      <c r="E7" s="16"/>
      <c r="F7" s="16"/>
      <c r="G7" s="16"/>
      <c r="H7" s="16"/>
      <c r="I7" s="16"/>
      <c r="J7" s="16"/>
      <c r="K7" s="16"/>
      <c r="L7" s="17"/>
    </row>
    <row r="8" customFormat="false" ht="10.5" hidden="false" customHeight="true" outlineLevel="0" collapsed="false">
      <c r="B8" s="15"/>
      <c r="L8" s="17"/>
    </row>
    <row r="9" customFormat="false" ht="24.75" hidden="false" customHeight="true" outlineLevel="0" collapsed="false">
      <c r="B9" s="18"/>
      <c r="C9" s="19" t="s">
        <v>7</v>
      </c>
      <c r="D9" s="20"/>
      <c r="E9" s="19" t="s">
        <v>8</v>
      </c>
      <c r="F9" s="20"/>
      <c r="G9" s="19" t="s">
        <v>9</v>
      </c>
      <c r="H9" s="20"/>
      <c r="I9" s="19" t="s">
        <v>10</v>
      </c>
      <c r="J9" s="20"/>
      <c r="K9" s="19" t="s">
        <v>11</v>
      </c>
      <c r="L9" s="17"/>
    </row>
    <row r="10" customFormat="false" ht="24.75" hidden="false" customHeight="true" outlineLevel="0" collapsed="false">
      <c r="B10" s="18"/>
      <c r="C10" s="21" t="n">
        <v>40</v>
      </c>
      <c r="D10" s="21"/>
      <c r="E10" s="21" t="n">
        <f aca="false">107</f>
        <v>107</v>
      </c>
      <c r="F10" s="21"/>
      <c r="G10" s="21" t="n">
        <f aca="false">E10-C10</f>
        <v>67</v>
      </c>
      <c r="H10" s="21"/>
      <c r="I10" s="22" t="n">
        <f aca="false">100/C10</f>
        <v>2.5</v>
      </c>
      <c r="J10" s="22"/>
      <c r="K10" s="22" t="n">
        <f aca="false">100/G10</f>
        <v>1.49253731343284</v>
      </c>
      <c r="L10" s="17"/>
    </row>
    <row r="11" customFormat="false" ht="24.75" hidden="false" customHeight="true" outlineLevel="0" collapsed="false">
      <c r="B11" s="18"/>
      <c r="C11" s="21" t="n">
        <v>43</v>
      </c>
      <c r="D11" s="21"/>
      <c r="E11" s="21" t="n">
        <v>103</v>
      </c>
      <c r="F11" s="21"/>
      <c r="G11" s="21" t="n">
        <f aca="false">E11-C11</f>
        <v>60</v>
      </c>
      <c r="H11" s="21"/>
      <c r="I11" s="22" t="n">
        <f aca="false">100/C11</f>
        <v>2.32558139534884</v>
      </c>
      <c r="J11" s="22"/>
      <c r="K11" s="22" t="n">
        <f aca="false">100/G11</f>
        <v>1.66666666666667</v>
      </c>
      <c r="L11" s="17"/>
    </row>
    <row r="12" customFormat="false" ht="24.75" hidden="false" customHeight="true" outlineLevel="0" collapsed="false">
      <c r="B12" s="18"/>
      <c r="C12" s="21" t="n">
        <v>46</v>
      </c>
      <c r="D12" s="21"/>
      <c r="E12" s="21" t="n">
        <v>100.7</v>
      </c>
      <c r="F12" s="21"/>
      <c r="G12" s="21" t="n">
        <f aca="false">E12-C12</f>
        <v>54.7</v>
      </c>
      <c r="H12" s="21"/>
      <c r="I12" s="22" t="n">
        <f aca="false">100/C12</f>
        <v>2.17391304347826</v>
      </c>
      <c r="J12" s="22"/>
      <c r="K12" s="22" t="n">
        <f aca="false">100/G12</f>
        <v>1.82815356489945</v>
      </c>
      <c r="L12" s="17"/>
    </row>
    <row r="13" customFormat="false" ht="24.75" hidden="false" customHeight="true" outlineLevel="0" collapsed="false">
      <c r="B13" s="18"/>
      <c r="C13" s="21" t="n">
        <v>49</v>
      </c>
      <c r="D13" s="21"/>
      <c r="E13" s="21" t="n">
        <f aca="false">100</f>
        <v>100</v>
      </c>
      <c r="F13" s="21"/>
      <c r="G13" s="21" t="n">
        <f aca="false">E13-C13</f>
        <v>51</v>
      </c>
      <c r="H13" s="21"/>
      <c r="I13" s="22" t="n">
        <f aca="false">100/C13</f>
        <v>2.04081632653061</v>
      </c>
      <c r="J13" s="22"/>
      <c r="K13" s="22" t="n">
        <f aca="false">100/G13</f>
        <v>1.96078431372549</v>
      </c>
      <c r="L13" s="17"/>
    </row>
    <row r="14" customFormat="false" ht="24.75" hidden="false" customHeight="true" outlineLevel="0" collapsed="false">
      <c r="B14" s="18"/>
      <c r="C14" s="21" t="n">
        <v>52</v>
      </c>
      <c r="D14" s="21"/>
      <c r="E14" s="21" t="n">
        <v>99.5</v>
      </c>
      <c r="F14" s="21"/>
      <c r="G14" s="21" t="n">
        <f aca="false">E14-C14</f>
        <v>47.5</v>
      </c>
      <c r="H14" s="21"/>
      <c r="I14" s="22" t="n">
        <f aca="false">100/C14</f>
        <v>1.92307692307692</v>
      </c>
      <c r="J14" s="22"/>
      <c r="K14" s="22" t="n">
        <f aca="false">100/G14</f>
        <v>2.10526315789474</v>
      </c>
      <c r="L14" s="17"/>
    </row>
    <row r="15" customFormat="false" ht="24.75" hidden="false" customHeight="true" outlineLevel="0" collapsed="false">
      <c r="B15" s="18"/>
      <c r="C15" s="21" t="n">
        <v>55</v>
      </c>
      <c r="D15" s="21"/>
      <c r="E15" s="21" t="n">
        <v>100.4</v>
      </c>
      <c r="F15" s="21"/>
      <c r="G15" s="21" t="n">
        <f aca="false">E15-C15</f>
        <v>45.4</v>
      </c>
      <c r="H15" s="21"/>
      <c r="I15" s="22" t="n">
        <f aca="false">100/C15</f>
        <v>1.81818181818182</v>
      </c>
      <c r="J15" s="22"/>
      <c r="K15" s="22" t="n">
        <f aca="false">100/G15</f>
        <v>2.20264317180617</v>
      </c>
      <c r="L15" s="17"/>
    </row>
    <row r="16" customFormat="false" ht="24.75" hidden="false" customHeight="true" outlineLevel="0" collapsed="false">
      <c r="B16" s="18"/>
      <c r="C16" s="21" t="n">
        <v>58</v>
      </c>
      <c r="D16" s="21"/>
      <c r="E16" s="21" t="n">
        <v>101.5</v>
      </c>
      <c r="F16" s="21"/>
      <c r="G16" s="21" t="n">
        <f aca="false">E16-C16</f>
        <v>43.5</v>
      </c>
      <c r="H16" s="21"/>
      <c r="I16" s="22" t="n">
        <f aca="false">100/C16</f>
        <v>1.72413793103448</v>
      </c>
      <c r="J16" s="22"/>
      <c r="K16" s="22" t="n">
        <f aca="false">100/G16</f>
        <v>2.29885057471264</v>
      </c>
      <c r="L16" s="17"/>
    </row>
    <row r="17" customFormat="false" ht="10.5" hidden="false" customHeight="true" outlineLevel="0" collapsed="false">
      <c r="B17" s="23"/>
      <c r="C17" s="19"/>
      <c r="D17" s="19"/>
      <c r="E17" s="19"/>
      <c r="F17" s="19"/>
      <c r="G17" s="19"/>
      <c r="H17" s="19"/>
      <c r="I17" s="19"/>
      <c r="J17" s="19"/>
      <c r="K17" s="19"/>
      <c r="L17" s="24"/>
    </row>
    <row r="18" customFormat="false" ht="12" hidden="false" customHeight="true" outlineLevel="0" collapsed="false">
      <c r="B18" s="25"/>
      <c r="C18" s="20"/>
      <c r="D18" s="20"/>
      <c r="E18" s="20"/>
      <c r="F18" s="20"/>
      <c r="G18" s="20"/>
      <c r="H18" s="20"/>
      <c r="I18" s="20"/>
      <c r="J18" s="20"/>
      <c r="K18" s="20"/>
    </row>
    <row r="19" customFormat="false" ht="27" hidden="false" customHeight="true" outlineLevel="0" collapsed="false">
      <c r="B19" s="26" t="s">
        <v>12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</row>
    <row r="20" customFormat="false" ht="27" hidden="false" customHeight="true" outlineLevel="0" collapsed="false"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</row>
    <row r="21" customFormat="false" ht="27" hidden="false" customHeight="true" outlineLevel="0" collapsed="false"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</row>
    <row r="22" customFormat="false" ht="27" hidden="false" customHeight="true" outlineLevel="0" collapsed="false"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  <row r="23" customFormat="false" ht="27" hidden="false" customHeight="true" outlineLevel="0" collapsed="false"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</row>
    <row r="24" customFormat="false" ht="27" hidden="false" customHeight="true" outlineLevel="0" collapsed="false"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</row>
    <row r="25" customFormat="false" ht="27" hidden="false" customHeight="true" outlineLevel="0" collapsed="false"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</row>
    <row r="26" customFormat="false" ht="27" hidden="false" customHeight="true" outlineLevel="0" collapsed="false"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</row>
    <row r="27" customFormat="false" ht="27" hidden="false" customHeight="true" outlineLevel="0" collapsed="false"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</row>
    <row r="28" customFormat="false" ht="27" hidden="false" customHeight="true" outlineLevel="0" collapsed="false"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</row>
    <row r="29" customFormat="false" ht="12" hidden="false" customHeight="true" outlineLevel="0" collapsed="false"/>
    <row r="30" customFormat="false" ht="11.25" hidden="false" customHeight="true" outlineLevel="0" collapsed="false">
      <c r="B30" s="27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9"/>
    </row>
    <row r="31" customFormat="false" ht="15" hidden="false" customHeight="false" outlineLevel="0" collapsed="false">
      <c r="B31" s="15"/>
      <c r="C31" s="30" t="s">
        <v>13</v>
      </c>
      <c r="D31" s="30"/>
      <c r="E31" s="30"/>
      <c r="F31" s="30"/>
      <c r="G31" s="30"/>
      <c r="H31" s="30"/>
      <c r="I31" s="30"/>
      <c r="J31" s="30"/>
      <c r="L31" s="1"/>
      <c r="M31" s="1"/>
      <c r="N31" s="31"/>
    </row>
    <row r="32" customFormat="false" ht="10.5" hidden="false" customHeight="true" outlineLevel="0" collapsed="false">
      <c r="B32" s="15"/>
      <c r="L32" s="1"/>
      <c r="M32" s="20"/>
      <c r="N32" s="31"/>
    </row>
    <row r="33" customFormat="false" ht="22.5" hidden="false" customHeight="true" outlineLevel="0" collapsed="false">
      <c r="B33" s="15"/>
      <c r="C33" s="32" t="s">
        <v>14</v>
      </c>
      <c r="D33" s="32"/>
      <c r="E33" s="32"/>
      <c r="F33" s="32"/>
      <c r="G33" s="32"/>
      <c r="H33" s="32"/>
      <c r="I33" s="32"/>
      <c r="J33" s="32"/>
      <c r="K33" s="32"/>
      <c r="L33" s="32"/>
      <c r="M33" s="33"/>
      <c r="N33" s="31"/>
    </row>
    <row r="34" customFormat="false" ht="18.75" hidden="false" customHeight="true" outlineLevel="0" collapsed="false">
      <c r="B34" s="15"/>
      <c r="C34" s="34" t="s">
        <v>15</v>
      </c>
      <c r="D34" s="35" t="s">
        <v>16</v>
      </c>
      <c r="E34" s="20" t="n">
        <v>1</v>
      </c>
      <c r="F34" s="35" t="s">
        <v>16</v>
      </c>
      <c r="G34" s="20" t="n">
        <v>1</v>
      </c>
      <c r="H34" s="35" t="s">
        <v>16</v>
      </c>
      <c r="I34" s="36" t="n">
        <f aca="false">1/INTERCEPT(K10:K16,I10:I16)*100</f>
        <v>24.3386562202847</v>
      </c>
      <c r="J34" s="36"/>
      <c r="K34" s="37" t="s">
        <v>17</v>
      </c>
      <c r="L34" s="1"/>
      <c r="M34" s="1"/>
      <c r="N34" s="31"/>
    </row>
    <row r="35" customFormat="false" ht="18.75" hidden="false" customHeight="true" outlineLevel="0" collapsed="false">
      <c r="B35" s="15"/>
      <c r="C35" s="34"/>
      <c r="D35" s="35"/>
      <c r="E35" s="20" t="s">
        <v>18</v>
      </c>
      <c r="F35" s="35"/>
      <c r="G35" s="20" t="str">
        <f aca="false">_xlfn.CONCAT(TEXT(INTERCEPT(K10:K16, I10:I16), "0.00"), " m^-1")</f>
        <v>4.11 m^-1</v>
      </c>
      <c r="H35" s="35"/>
      <c r="I35" s="36"/>
      <c r="J35" s="36"/>
      <c r="K35" s="37"/>
      <c r="L35" s="1"/>
      <c r="M35" s="1"/>
      <c r="N35" s="31"/>
    </row>
    <row r="36" customFormat="false" ht="22.5" hidden="false" customHeight="true" outlineLevel="0" collapsed="false">
      <c r="B36" s="15"/>
      <c r="C36" s="32" t="s">
        <v>19</v>
      </c>
      <c r="D36" s="32"/>
      <c r="E36" s="32"/>
      <c r="F36" s="32"/>
      <c r="G36" s="32"/>
      <c r="H36" s="32"/>
      <c r="I36" s="32"/>
      <c r="J36" s="32"/>
      <c r="K36" s="32"/>
      <c r="L36" s="32"/>
      <c r="M36" s="33"/>
      <c r="N36" s="31"/>
    </row>
    <row r="37" customFormat="false" ht="18.75" hidden="false" customHeight="true" outlineLevel="0" collapsed="false">
      <c r="B37" s="15"/>
      <c r="C37" s="34" t="s">
        <v>15</v>
      </c>
      <c r="D37" s="35" t="s">
        <v>16</v>
      </c>
      <c r="E37" s="38" t="s">
        <v>20</v>
      </c>
      <c r="F37" s="35" t="s">
        <v>16</v>
      </c>
      <c r="G37" s="20" t="str">
        <f aca="false">TEXT(-SLOPE(K10:K16,I10:I16),"0.00")</f>
        <v>1.05</v>
      </c>
      <c r="H37" s="35" t="s">
        <v>16</v>
      </c>
      <c r="I37" s="36" t="n">
        <f aca="false">-SLOPE(K10:K16,I10:I16)/INTERCEPT(K10:K16,I10:I16)*100</f>
        <v>25.5135422035752</v>
      </c>
      <c r="J37" s="36"/>
      <c r="K37" s="37" t="s">
        <v>17</v>
      </c>
      <c r="L37" s="1"/>
      <c r="M37" s="1"/>
      <c r="N37" s="31"/>
    </row>
    <row r="38" customFormat="false" ht="18.75" hidden="false" customHeight="true" outlineLevel="0" collapsed="false">
      <c r="B38" s="15"/>
      <c r="C38" s="34"/>
      <c r="D38" s="35"/>
      <c r="E38" s="20" t="s">
        <v>18</v>
      </c>
      <c r="F38" s="35"/>
      <c r="G38" s="20" t="str">
        <f aca="false">G35</f>
        <v>4.11 m^-1</v>
      </c>
      <c r="H38" s="35"/>
      <c r="I38" s="36"/>
      <c r="J38" s="36"/>
      <c r="K38" s="37"/>
      <c r="L38" s="1"/>
      <c r="M38" s="1"/>
      <c r="N38" s="31"/>
    </row>
    <row r="39" customFormat="false" ht="22.5" hidden="false" customHeight="true" outlineLevel="0" collapsed="false">
      <c r="B39" s="15"/>
      <c r="C39" s="39" t="s">
        <v>21</v>
      </c>
      <c r="D39" s="39"/>
      <c r="E39" s="39"/>
      <c r="F39" s="39"/>
      <c r="G39" s="39"/>
      <c r="H39" s="32"/>
      <c r="I39" s="32"/>
      <c r="J39" s="32"/>
      <c r="K39" s="32"/>
      <c r="L39" s="32"/>
      <c r="M39" s="33"/>
      <c r="N39" s="31"/>
    </row>
    <row r="40" customFormat="false" ht="18.75" hidden="false" customHeight="true" outlineLevel="0" collapsed="false">
      <c r="B40" s="15"/>
      <c r="C40" s="34" t="s">
        <v>15</v>
      </c>
      <c r="D40" s="35" t="s">
        <v>16</v>
      </c>
      <c r="E40" s="20" t="s">
        <v>22</v>
      </c>
      <c r="F40" s="35" t="s">
        <v>16</v>
      </c>
      <c r="G40" s="40" t="n">
        <f aca="false">AVERAGE(G34,G37)</f>
        <v>1</v>
      </c>
      <c r="H40" s="40"/>
      <c r="I40" s="40"/>
      <c r="J40" s="35" t="s">
        <v>16</v>
      </c>
      <c r="K40" s="36" t="n">
        <f aca="false">AVERAGE(I34,I37)</f>
        <v>24.92609921193</v>
      </c>
      <c r="L40" s="16" t="s">
        <v>17</v>
      </c>
      <c r="M40" s="16"/>
      <c r="N40" s="31"/>
    </row>
    <row r="41" customFormat="false" ht="18.75" hidden="false" customHeight="true" outlineLevel="0" collapsed="false">
      <c r="B41" s="15"/>
      <c r="C41" s="34"/>
      <c r="D41" s="35"/>
      <c r="E41" s="20" t="s">
        <v>23</v>
      </c>
      <c r="F41" s="35"/>
      <c r="G41" s="41" t="str">
        <f aca="false">G38</f>
        <v>4.11 m^-1</v>
      </c>
      <c r="H41" s="41"/>
      <c r="I41" s="41"/>
      <c r="J41" s="35"/>
      <c r="K41" s="36"/>
      <c r="L41" s="16"/>
      <c r="M41" s="16"/>
      <c r="N41" s="31"/>
    </row>
    <row r="42" customFormat="false" ht="11.25" hidden="false" customHeight="true" outlineLevel="0" collapsed="false">
      <c r="B42" s="42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43"/>
    </row>
  </sheetData>
  <mergeCells count="32">
    <mergeCell ref="C2:D2"/>
    <mergeCell ref="E2:O2"/>
    <mergeCell ref="C3:D3"/>
    <mergeCell ref="E3:O3"/>
    <mergeCell ref="C4:D4"/>
    <mergeCell ref="K4:L4"/>
    <mergeCell ref="M4:O4"/>
    <mergeCell ref="B5:E5"/>
    <mergeCell ref="C7:K7"/>
    <mergeCell ref="B19:O28"/>
    <mergeCell ref="C31:J31"/>
    <mergeCell ref="C34:C35"/>
    <mergeCell ref="D34:D35"/>
    <mergeCell ref="F34:F35"/>
    <mergeCell ref="H34:H35"/>
    <mergeCell ref="I34:J35"/>
    <mergeCell ref="K34:K35"/>
    <mergeCell ref="C37:C38"/>
    <mergeCell ref="D37:D38"/>
    <mergeCell ref="F37:F38"/>
    <mergeCell ref="H37:H38"/>
    <mergeCell ref="I37:J38"/>
    <mergeCell ref="K37:K38"/>
    <mergeCell ref="C39:G39"/>
    <mergeCell ref="C40:C41"/>
    <mergeCell ref="D40:D41"/>
    <mergeCell ref="F40:F41"/>
    <mergeCell ref="G40:I40"/>
    <mergeCell ref="J40:J41"/>
    <mergeCell ref="K40:K41"/>
    <mergeCell ref="L40:M41"/>
    <mergeCell ref="G41:I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LibreOffice/25.2.5.2$Linux_AARCH64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2017-05-10T23:34:32Z</dcterms:created>
  <dc:creator>rccd</dc:creator>
  <dc:description/>
  <dc:language>en-US</dc:language>
  <cp:lastModifiedBy/>
  <dcterms:modified xsi:type="dcterms:W3CDTF">2025-11-12T16:29:24Z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