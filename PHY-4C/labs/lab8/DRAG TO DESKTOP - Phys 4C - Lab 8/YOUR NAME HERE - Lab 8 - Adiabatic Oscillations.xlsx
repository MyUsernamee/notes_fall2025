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Graph Calcul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<sst xmlns="http://schemas.openxmlformats.org/spreadsheetml/2006/main" count="73" uniqueCount="37">
  <si>
    <t xml:space="preserve">Name:</t>
  </si>
  <si>
    <t xml:space="preserve">Delano</t>
  </si>
  <si>
    <t xml:space="preserve">Partner(s):</t>
  </si>
  <si>
    <t xml:space="preserve">Jafette, Sierra</t>
  </si>
  <si>
    <t xml:space="preserve">Date:</t>
  </si>
  <si>
    <t xml:space="preserve">    Table #:</t>
  </si>
  <si>
    <t xml:space="preserve">Final Data</t>
  </si>
  <si>
    <r>
      <rPr>
        <sz val="11"/>
        <color theme="1"/>
        <rFont val="Calibri"/>
        <family val="2"/>
        <charset val="1"/>
      </rPr>
      <t xml:space="preserve">H (x10</t>
    </r>
    <r>
      <rPr>
        <vertAlign val="superscript"/>
        <sz val="11"/>
        <color theme="1"/>
        <rFont val="Calibri"/>
        <family val="2"/>
        <charset val="1"/>
      </rPr>
      <t xml:space="preserve">-3</t>
    </r>
    <r>
      <rPr>
        <sz val="11"/>
        <color theme="1"/>
        <rFont val="Calibri"/>
        <family val="2"/>
        <charset val="1"/>
      </rPr>
      <t xml:space="preserve"> m)</t>
    </r>
  </si>
  <si>
    <t xml:space="preserve">T (ms)</t>
  </si>
  <si>
    <r>
      <rPr>
        <sz val="11"/>
        <color theme="1"/>
        <rFont val="Calibri"/>
        <family val="2"/>
        <charset val="1"/>
      </rPr>
      <t xml:space="preserve">T</t>
    </r>
    <r>
      <rPr>
        <vertAlign val="super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(x10</t>
    </r>
    <r>
      <rPr>
        <vertAlign val="superscript"/>
        <sz val="11"/>
        <color theme="1"/>
        <rFont val="Calibri"/>
        <family val="2"/>
        <charset val="1"/>
      </rPr>
      <t xml:space="preserve">-3</t>
    </r>
    <r>
      <rPr>
        <sz val="11"/>
        <color theme="1"/>
        <rFont val="Calibri"/>
        <family val="2"/>
        <charset val="1"/>
      </rPr>
      <t xml:space="preserve"> s</t>
    </r>
    <r>
      <rPr>
        <vertAlign val="super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)</t>
    </r>
  </si>
  <si>
    <t xml:space="preserve">Constants</t>
  </si>
  <si>
    <t xml:space="preserve">g</t>
  </si>
  <si>
    <r>
      <rPr>
        <sz val="11"/>
        <color theme="1"/>
        <rFont val="Calibri"/>
        <family val="2"/>
        <charset val="1"/>
      </rPr>
      <t xml:space="preserve">m/s</t>
    </r>
    <r>
      <rPr>
        <vertAlign val="superscript"/>
        <sz val="11"/>
        <color rgb="FF000000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</si>
  <si>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p</t>
    </r>
    <r>
      <rPr>
        <vertAlign val="subscript"/>
        <sz val="11"/>
        <color rgb="FF000000"/>
        <rFont val="Calibri"/>
        <family val="2"/>
        <charset val="1"/>
      </rPr>
      <t xml:space="preserve">o</t>
    </r>
  </si>
  <si>
    <t xml:space="preserve">Pa</t>
  </si>
  <si>
    <t xml:space="preserve">m</t>
  </si>
  <si>
    <t xml:space="preserve">kg</t>
  </si>
  <si>
    <t xml:space="preserve">D</t>
  </si>
  <si>
    <t xml:space="preserve">mm</t>
  </si>
  <si>
    <t xml:space="preserve">A</t>
  </si>
  <si>
    <r>
      <rPr>
        <sz val="11"/>
        <color theme="1"/>
        <rFont val="Calibri"/>
        <family val="2"/>
        <charset val="1"/>
      </rPr>
      <t xml:space="preserve">m</t>
    </r>
    <r>
      <rPr>
        <vertAlign val="super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x10</t>
    </r>
    <r>
      <rPr>
        <vertAlign val="superscript"/>
        <sz val="11"/>
        <color rgb="FF000000"/>
        <rFont val="Calibri"/>
        <family val="2"/>
        <charset val="1"/>
      </rPr>
      <t xml:space="preserve">3</t>
    </r>
  </si>
  <si>
    <t xml:space="preserve">Calculations</t>
  </si>
  <si>
    <t xml:space="preserve">ɣ</t>
  </si>
  <si>
    <t xml:space="preserve">=</t>
  </si>
  <si>
    <r>
      <rPr>
        <sz val="11"/>
        <color theme="1"/>
        <rFont val="Calibri"/>
        <family val="2"/>
        <charset val="1"/>
      </rPr>
      <t xml:space="preserve">4 π</t>
    </r>
    <r>
      <rPr>
        <vertAlign val="superscript"/>
        <sz val="11"/>
        <color rgb="FF000000"/>
        <rFont val="Calibri"/>
        <family val="2"/>
        <charset val="1"/>
      </rPr>
      <t xml:space="preserve">2</t>
    </r>
  </si>
  <si>
    <r>
      <rPr>
        <sz val="11"/>
        <color theme="1"/>
        <rFont val="Standard Symbols PS"/>
        <family val="0"/>
        <charset val="1"/>
      </rPr>
      <t xml:space="preserve">a (</t>
    </r>
    <r>
      <rPr>
        <sz val="11"/>
        <color theme="1"/>
        <rFont val="Adwaita Mono"/>
        <family val="0"/>
        <charset val="1"/>
      </rPr>
      <t xml:space="preserve">s</t>
    </r>
    <r>
      <rPr>
        <vertAlign val="superscript"/>
        <sz val="11"/>
        <color theme="1"/>
        <rFont val="Adwaita Mono"/>
        <family val="0"/>
        <charset val="1"/>
      </rPr>
      <t xml:space="preserve">2</t>
    </r>
    <r>
      <rPr>
        <sz val="11"/>
        <color theme="1"/>
        <rFont val="Adwaita Mono"/>
        <family val="0"/>
        <charset val="1"/>
      </rPr>
      <t xml:space="preserve">/m)</t>
    </r>
  </si>
  <si>
    <t xml:space="preserve">g  +  </t>
  </si>
  <si>
    <r>
      <rPr>
        <sz val="11"/>
        <color theme="1"/>
        <rFont val="Calibri"/>
        <family val="2"/>
        <charset val="1"/>
      </rPr>
      <t xml:space="preserve">p</t>
    </r>
    <r>
      <rPr>
        <vertAlign val="subscript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</si>
  <si>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9.80 m/s</t>
    </r>
    <r>
      <rPr>
        <vertAlign val="superscript"/>
        <sz val="11"/>
        <color rgb="FF000000"/>
        <rFont val="Calibri"/>
        <family val="2"/>
        <charset val="1"/>
      </rPr>
      <t xml:space="preserve">2    </t>
    </r>
    <r>
      <rPr>
        <sz val="11"/>
        <color theme="1"/>
        <rFont val="Calibri"/>
        <family val="2"/>
        <charset val="1"/>
      </rPr>
      <t xml:space="preserve">+</t>
    </r>
  </si>
  <si>
    <t xml:space="preserve">H = </t>
  </si>
  <si>
    <r>
      <rPr>
        <i val="true"/>
        <sz val="12"/>
        <color theme="1"/>
        <rFont val="Calibri"/>
        <family val="2"/>
        <charset val="1"/>
      </rPr>
      <t xml:space="preserve"> x 10</t>
    </r>
    <r>
      <rPr>
        <i val="true"/>
        <vertAlign val="superscript"/>
        <sz val="12"/>
        <color theme="1"/>
        <rFont val="Calibri"/>
        <family val="2"/>
        <charset val="1"/>
      </rPr>
      <t xml:space="preserve">-3</t>
    </r>
    <r>
      <rPr>
        <i val="true"/>
        <sz val="12"/>
        <color theme="1"/>
        <rFont val="Calibri"/>
        <family val="2"/>
        <charset val="1"/>
      </rPr>
      <t xml:space="preserve"> m</t>
    </r>
  </si>
  <si>
    <t xml:space="preserve">RUN</t>
  </si>
  <si>
    <t xml:space="preserve">Start Time</t>
  </si>
  <si>
    <t xml:space="preserve">End Time</t>
  </si>
  <si>
    <t xml:space="preserve"># Osc.</t>
  </si>
  <si>
    <t xml:space="preserve">T(ms)</t>
  </si>
  <si>
    <t xml:space="preserve">average 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</si>
</sst>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/dd/yy"/>
    <numFmt numFmtId="166" formatCode="0.0"/>
    <numFmt numFmtId="167" formatCode="0.000"/>
    <numFmt numFmtId="168" formatCode="0.00"/>
    <numFmt numFmtId="169" formatCode="0.0000"/>
    <numFmt numFmtId="170" formatCode="0.000000"/>
    <numFmt numFmtId="171" formatCode="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2"/>
      <color theme="1"/>
      <name val="Calibri"/>
      <family val="2"/>
      <charset val="1"/>
    </font>
    <font>
      <b val="true"/>
      <i val="true"/>
      <sz val="13"/>
      <color theme="1"/>
      <name val="Calibri"/>
      <family val="2"/>
      <charset val="1"/>
    </font>
    <font>
      <i val="true"/>
      <sz val="13"/>
      <color theme="1"/>
      <name val="Calibri"/>
      <family val="2"/>
      <charset val="1"/>
    </font>
    <font>
      <vertAlign val="superscript"/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vertAlign val="superscript"/>
      <sz val="11"/>
      <color rgb="FF000000"/>
      <name val="Calibri"/>
      <family val="2"/>
      <charset val="1"/>
    </font>
    <font>
      <vertAlign val="subscript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i val="true"/>
      <sz val="18"/>
      <color theme="1"/>
      <name val="Calibri"/>
      <family val="2"/>
      <charset val="1"/>
    </font>
    <font>
      <sz val="11"/>
      <color theme="1"/>
      <name val="Standard Symbols PS"/>
      <family val="0"/>
      <charset val="1"/>
    </font>
    <font>
      <sz val="11"/>
      <color theme="1"/>
      <name val="Adwaita Mono"/>
      <family val="0"/>
      <charset val="1"/>
    </font>
    <font>
      <vertAlign val="superscript"/>
      <sz val="11"/>
      <color theme="1"/>
      <name val="Adwaita Mono"/>
      <family val="0"/>
      <charset val="1"/>
    </font>
    <font>
      <vertAlign val="subscript"/>
      <sz val="11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b val="true"/>
      <i val="true"/>
      <sz val="12"/>
      <color theme="1"/>
      <name val="Calibri"/>
      <family val="2"/>
      <charset val="1"/>
    </font>
    <font>
      <i val="true"/>
      <vertAlign val="superscript"/>
      <sz val="12"/>
      <color theme="1"/>
      <name val="Calibri"/>
      <family val="2"/>
      <charset val="1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Height v.s. Time Squared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'Data Graph Calculations'!$G$11</c:f>
              <c:strCache>
                <c:ptCount val="1"/>
                <c:pt idx="0">
                  <c:v>T2(x10-3 s2)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'Data Graph Calculations'!$C$12:$C$16</c:f>
              <c:numCache>
                <c:formatCode>0.0</c:formatCode>
                <c:ptCount val="5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</c:numCache>
            </c:numRef>
          </c:xVal>
          <c:yVal>
            <c:numRef>
              <c:f>'Data Graph Calculations'!$G$12:$G$16</c:f>
              <c:numCache>
                <c:formatCode>0.000</c:formatCode>
                <c:ptCount val="5"/>
                <c:pt idx="0">
                  <c:v>0.652376736111112</c:v>
                </c:pt>
                <c:pt idx="1">
                  <c:v>0.778897219072814</c:v>
                </c:pt>
                <c:pt idx="2">
                  <c:v>0.908502128064766</c:v>
                </c:pt>
                <c:pt idx="3">
                  <c:v>1.07939626736112</c:v>
                </c:pt>
                <c:pt idx="4">
                  <c:v>1.23904</c:v>
                </c:pt>
              </c:numCache>
            </c:numRef>
          </c:yVal>
          <c:smooth val="0"/>
        </c:ser>
        <c:axId val="25580767"/>
        <c:axId val="58661091"/>
      </c:scatterChart>
      <c:valAx>
        <c:axId val="2558076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H (x10^-3 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8661091"/>
        <c:crosses val="autoZero"/>
        <c:crossBetween val="between"/>
      </c:valAx>
      <c:valAx>
        <c:axId val="58661091"/>
        <c:scaling>
          <c:orientation val="minMax"/>
          <c:min val="0.5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T^2 (x10^-3 s^2)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5580767"/>
        <c:crossesAt val="0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137520</xdr:colOff>
      <xdr:row>8</xdr:row>
      <xdr:rowOff>0</xdr:rowOff>
    </xdr:from>
    <xdr:to>
      <xdr:col>24</xdr:col>
      <xdr:colOff>882000</xdr:colOff>
      <xdr:row>22</xdr:row>
      <xdr:rowOff>199080</xdr:rowOff>
    </xdr:to>
    <xdr:graphicFrame>
      <xdr:nvGraphicFramePr>
        <xdr:cNvPr id="0" name=""/>
        <xdr:cNvGraphicFramePr/>
      </xdr:nvGraphicFramePr>
      <xdr:xfrm>
        <a:off x="3549960" y="1695600"/>
        <a:ext cx="6585120" cy="3704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D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"/>
    <col collapsed="false" customWidth="true" hidden="false" outlineLevel="0" max="3" min="3" style="0" width="13.29"/>
    <col collapsed="false" customWidth="true" hidden="false" outlineLevel="0" max="4" min="4" style="0" width="2"/>
    <col collapsed="false" customWidth="true" hidden="false" outlineLevel="0" max="5" min="5" style="0" width="10.98"/>
    <col collapsed="false" customWidth="true" hidden="false" outlineLevel="0" max="6" min="6" style="0" width="2"/>
    <col collapsed="false" customWidth="true" hidden="false" outlineLevel="0" max="7" min="7" style="0" width="13.15"/>
    <col collapsed="false" customWidth="true" hidden="false" outlineLevel="0" max="8" min="8" style="0" width="2"/>
    <col collapsed="false" customWidth="true" hidden="false" outlineLevel="0" max="9" min="9" style="0" width="13.15"/>
    <col collapsed="false" customWidth="true" hidden="false" outlineLevel="0" max="10" min="10" style="0" width="2"/>
    <col collapsed="false" customWidth="true" hidden="false" outlineLevel="0" max="11" min="11" style="0" width="13.15"/>
    <col collapsed="false" customWidth="true" hidden="false" outlineLevel="0" max="13" min="12" style="0" width="2"/>
    <col collapsed="false" customWidth="true" hidden="false" outlineLevel="0" max="14" min="14" style="0" width="2.29"/>
    <col collapsed="false" customWidth="true" hidden="false" outlineLevel="0" max="15" min="15" style="0" width="4.86"/>
    <col collapsed="false" customWidth="true" hidden="false" outlineLevel="0" max="16" min="16" style="0" width="4.14"/>
    <col collapsed="false" customWidth="true" hidden="false" outlineLevel="0" max="17" min="17" style="0" width="9"/>
    <col collapsed="false" customWidth="true" hidden="false" outlineLevel="0" max="18" min="18" style="0" width="1.29"/>
    <col collapsed="false" customWidth="true" hidden="false" outlineLevel="0" max="19" min="19" style="0" width="4.29"/>
    <col collapsed="false" customWidth="true" hidden="false" outlineLevel="0" max="20" min="20" style="0" width="6.57"/>
    <col collapsed="false" customWidth="true" hidden="false" outlineLevel="0" max="21" min="21" style="0" width="1.29"/>
    <col collapsed="false" customWidth="true" hidden="false" outlineLevel="0" max="22" min="22" style="0" width="4.14"/>
    <col collapsed="false" customWidth="true" hidden="false" outlineLevel="0" max="23" min="23" style="0" width="11.43"/>
    <col collapsed="false" customWidth="true" hidden="false" outlineLevel="0" max="24" min="24" style="0" width="1.29"/>
    <col collapsed="false" customWidth="true" hidden="false" outlineLevel="0" max="25" min="25" style="0" width="12.71"/>
    <col collapsed="false" customWidth="true" hidden="false" outlineLevel="0" max="26" min="26" style="0" width="27.57"/>
    <col collapsed="false" customWidth="true" hidden="false" outlineLevel="0" max="27" min="27" style="0" width="1.29"/>
    <col collapsed="false" customWidth="true" hidden="false" outlineLevel="0" max="28" min="28" style="0" width="4.14"/>
    <col collapsed="false" customWidth="true" hidden="false" outlineLevel="0" max="29" min="29" style="0" width="7.86"/>
    <col collapsed="false" customWidth="true" hidden="false" outlineLevel="0" max="30" min="30" style="0" width="2.29"/>
  </cols>
  <sheetData>
    <row r="2" customFormat="false" ht="10.5" hidden="false" customHeight="true" outlineLevel="0" collapsed="false"/>
    <row r="3" customFormat="false" ht="24.75" hidden="false" customHeight="true" outlineLevel="0" collapsed="false">
      <c r="B3" s="1"/>
      <c r="C3" s="2" t="s">
        <v>0</v>
      </c>
      <c r="D3" s="2"/>
      <c r="E3" s="3" t="s">
        <v>1</v>
      </c>
      <c r="F3" s="3"/>
      <c r="G3" s="3"/>
      <c r="H3" s="3"/>
      <c r="I3" s="3"/>
      <c r="J3" s="3"/>
      <c r="K3" s="3"/>
      <c r="L3" s="4"/>
      <c r="M3" s="5"/>
      <c r="N3" s="5"/>
      <c r="O3" s="5"/>
    </row>
    <row r="4" customFormat="false" ht="24.75" hidden="false" customHeight="true" outlineLevel="0" collapsed="false">
      <c r="B4" s="6"/>
      <c r="C4" s="7" t="s">
        <v>2</v>
      </c>
      <c r="D4" s="7"/>
      <c r="E4" s="8" t="s">
        <v>3</v>
      </c>
      <c r="F4" s="8"/>
      <c r="G4" s="8"/>
      <c r="H4" s="8"/>
      <c r="I4" s="8"/>
      <c r="J4" s="8"/>
      <c r="K4" s="8"/>
      <c r="L4" s="9"/>
      <c r="M4" s="5"/>
      <c r="N4" s="5"/>
      <c r="O4" s="5"/>
    </row>
    <row r="5" customFormat="false" ht="24.75" hidden="false" customHeight="true" outlineLevel="0" collapsed="false">
      <c r="B5" s="10"/>
      <c r="C5" s="11" t="s">
        <v>4</v>
      </c>
      <c r="D5" s="11"/>
      <c r="E5" s="12" t="n">
        <v>45952</v>
      </c>
      <c r="F5" s="12"/>
      <c r="G5" s="12"/>
      <c r="H5" s="12"/>
      <c r="I5" s="13" t="s">
        <v>5</v>
      </c>
      <c r="J5" s="13"/>
      <c r="K5" s="14" t="n">
        <v>2</v>
      </c>
      <c r="L5" s="15"/>
      <c r="M5" s="5"/>
      <c r="N5" s="5"/>
      <c r="O5" s="5"/>
    </row>
    <row r="6" customFormat="false" ht="9" hidden="false" customHeight="true" outlineLevel="0" collapsed="false"/>
    <row r="8" customFormat="false" ht="9.75" hidden="false" customHeight="true" outlineLevel="0" collapsed="false">
      <c r="B8" s="1"/>
      <c r="C8" s="16"/>
      <c r="D8" s="16"/>
      <c r="E8" s="16"/>
      <c r="F8" s="16"/>
      <c r="G8" s="16"/>
      <c r="H8" s="17"/>
    </row>
    <row r="9" s="18" customFormat="true" ht="24.75" hidden="false" customHeight="true" outlineLevel="0" collapsed="false">
      <c r="B9" s="19"/>
      <c r="C9" s="20" t="s">
        <v>6</v>
      </c>
      <c r="D9" s="20"/>
      <c r="E9" s="20"/>
      <c r="F9" s="20"/>
      <c r="G9" s="20"/>
      <c r="H9" s="21"/>
      <c r="I9" s="22"/>
      <c r="J9" s="22"/>
      <c r="K9" s="22"/>
    </row>
    <row r="10" s="18" customFormat="true" ht="9.75" hidden="false" customHeight="true" outlineLevel="0" collapsed="false">
      <c r="B10" s="19"/>
      <c r="H10" s="23"/>
    </row>
    <row r="11" s="18" customFormat="true" ht="28.5" hidden="false" customHeight="true" outlineLevel="0" collapsed="false">
      <c r="B11" s="19"/>
      <c r="C11" s="24" t="s">
        <v>7</v>
      </c>
      <c r="E11" s="24" t="s">
        <v>8</v>
      </c>
      <c r="G11" s="24" t="s">
        <v>9</v>
      </c>
      <c r="H11" s="23"/>
    </row>
    <row r="12" s="18" customFormat="true" ht="23.25" hidden="false" customHeight="true" outlineLevel="0" collapsed="false">
      <c r="B12" s="19"/>
      <c r="C12" s="25" t="n">
        <f aca="false">E39</f>
        <v>40</v>
      </c>
      <c r="E12" s="25" t="n">
        <f aca="false">K46</f>
        <v>25.5416666666667</v>
      </c>
      <c r="F12" s="25"/>
      <c r="G12" s="26" t="n">
        <f aca="false">POWER(E12,2)/1000</f>
        <v>0.652376736111112</v>
      </c>
      <c r="H12" s="27"/>
      <c r="I12" s="25"/>
      <c r="J12" s="25"/>
      <c r="K12" s="26"/>
    </row>
    <row r="13" s="18" customFormat="true" ht="23.25" hidden="false" customHeight="true" outlineLevel="0" collapsed="false">
      <c r="B13" s="19"/>
      <c r="C13" s="25" t="n">
        <f aca="false">E50</f>
        <v>50</v>
      </c>
      <c r="E13" s="25" t="n">
        <f aca="false">K57</f>
        <v>27.9087301587302</v>
      </c>
      <c r="F13" s="25"/>
      <c r="G13" s="26" t="n">
        <f aca="false">POWER(E13,2)/1000</f>
        <v>0.778897219072814</v>
      </c>
      <c r="H13" s="27"/>
      <c r="I13" s="25"/>
      <c r="J13" s="25"/>
      <c r="K13" s="26"/>
    </row>
    <row r="14" s="18" customFormat="true" ht="23.25" hidden="false" customHeight="true" outlineLevel="0" collapsed="false">
      <c r="B14" s="19"/>
      <c r="C14" s="25" t="n">
        <f aca="false">E61</f>
        <v>60</v>
      </c>
      <c r="E14" s="25" t="n">
        <f aca="false">K68</f>
        <v>30.141369047619</v>
      </c>
      <c r="F14" s="25"/>
      <c r="G14" s="26" t="n">
        <f aca="false">POWER(E14,2)/1000</f>
        <v>0.908502128064766</v>
      </c>
      <c r="H14" s="27"/>
      <c r="I14" s="25"/>
      <c r="J14" s="25"/>
      <c r="K14" s="26"/>
    </row>
    <row r="15" s="18" customFormat="true" ht="23.25" hidden="false" customHeight="true" outlineLevel="0" collapsed="false">
      <c r="B15" s="19"/>
      <c r="C15" s="25" t="n">
        <f aca="false">E72</f>
        <v>70</v>
      </c>
      <c r="E15" s="25" t="n">
        <f aca="false">K79</f>
        <v>32.8541666666668</v>
      </c>
      <c r="F15" s="25"/>
      <c r="G15" s="26" t="n">
        <f aca="false">POWER(E15,2)/1000</f>
        <v>1.07939626736112</v>
      </c>
      <c r="H15" s="27"/>
      <c r="I15" s="25"/>
      <c r="J15" s="25"/>
      <c r="K15" s="26"/>
    </row>
    <row r="16" s="18" customFormat="true" ht="23.25" hidden="false" customHeight="true" outlineLevel="0" collapsed="false">
      <c r="B16" s="19"/>
      <c r="C16" s="25" t="n">
        <f aca="false">E83</f>
        <v>80</v>
      </c>
      <c r="E16" s="25" t="n">
        <f aca="false">K90</f>
        <v>35.2</v>
      </c>
      <c r="F16" s="25"/>
      <c r="G16" s="26" t="n">
        <f aca="false">POWER(E16,2)/1000</f>
        <v>1.23904</v>
      </c>
      <c r="H16" s="27"/>
      <c r="I16" s="25"/>
      <c r="J16" s="25"/>
      <c r="K16" s="26"/>
    </row>
    <row r="17" customFormat="false" ht="9.75" hidden="false" customHeight="true" outlineLevel="0" collapsed="false">
      <c r="B17" s="10"/>
      <c r="C17" s="28"/>
      <c r="D17" s="28"/>
      <c r="E17" s="28"/>
      <c r="F17" s="28"/>
      <c r="G17" s="28"/>
      <c r="H17" s="29"/>
    </row>
    <row r="19" customFormat="false" ht="12" hidden="false" customHeight="true" outlineLevel="0" collapsed="false">
      <c r="B19" s="30"/>
      <c r="C19" s="31"/>
      <c r="D19" s="31"/>
      <c r="E19" s="31"/>
      <c r="F19" s="31"/>
      <c r="G19" s="16"/>
      <c r="H19" s="17"/>
    </row>
    <row r="20" customFormat="false" ht="21.75" hidden="false" customHeight="true" outlineLevel="0" collapsed="false">
      <c r="B20" s="19"/>
      <c r="C20" s="32" t="s">
        <v>10</v>
      </c>
      <c r="D20" s="32"/>
      <c r="E20" s="32"/>
      <c r="F20" s="32"/>
      <c r="G20" s="32"/>
      <c r="H20" s="33"/>
    </row>
    <row r="21" customFormat="false" ht="12" hidden="false" customHeight="true" outlineLevel="0" collapsed="false">
      <c r="B21" s="19"/>
      <c r="C21" s="18"/>
      <c r="D21" s="18"/>
      <c r="E21" s="18"/>
      <c r="F21" s="18"/>
      <c r="H21" s="33"/>
    </row>
    <row r="22" customFormat="false" ht="26.25" hidden="false" customHeight="true" outlineLevel="0" collapsed="false">
      <c r="B22" s="19"/>
      <c r="C22" s="18" t="s">
        <v>11</v>
      </c>
      <c r="D22" s="18"/>
      <c r="E22" s="34" t="n">
        <v>9.8</v>
      </c>
      <c r="F22" s="18"/>
      <c r="G22" s="18" t="s">
        <v>12</v>
      </c>
      <c r="H22" s="33"/>
    </row>
    <row r="23" customFormat="false" ht="26.25" hidden="false" customHeight="true" outlineLevel="0" collapsed="false">
      <c r="B23" s="19"/>
      <c r="C23" s="18" t="s">
        <v>13</v>
      </c>
      <c r="D23" s="18"/>
      <c r="E23" s="18" t="n">
        <v>101300</v>
      </c>
      <c r="F23" s="18"/>
      <c r="G23" s="18" t="s">
        <v>14</v>
      </c>
      <c r="H23" s="33"/>
    </row>
    <row r="24" customFormat="false" ht="26.25" hidden="false" customHeight="true" outlineLevel="0" collapsed="false">
      <c r="B24" s="19"/>
      <c r="C24" s="18" t="s">
        <v>15</v>
      </c>
      <c r="D24" s="18"/>
      <c r="E24" s="35" t="n">
        <v>0.035</v>
      </c>
      <c r="F24" s="18"/>
      <c r="G24" s="18" t="s">
        <v>16</v>
      </c>
      <c r="H24" s="33"/>
    </row>
    <row r="25" customFormat="false" ht="26.25" hidden="false" customHeight="true" outlineLevel="0" collapsed="false">
      <c r="B25" s="19"/>
      <c r="C25" s="18" t="s">
        <v>17</v>
      </c>
      <c r="D25" s="18"/>
      <c r="E25" s="18" t="n">
        <v>32.5</v>
      </c>
      <c r="F25" s="18"/>
      <c r="G25" s="18" t="s">
        <v>18</v>
      </c>
      <c r="H25" s="33"/>
    </row>
    <row r="26" customFormat="false" ht="26.25" hidden="false" customHeight="true" outlineLevel="0" collapsed="false">
      <c r="B26" s="19"/>
      <c r="C26" s="18" t="s">
        <v>19</v>
      </c>
      <c r="D26" s="18"/>
      <c r="E26" s="36" t="n">
        <f aca="false">PI() * POWER(E25/1000, 2) / 4</f>
        <v>0.000829576810088555</v>
      </c>
      <c r="F26" s="18"/>
      <c r="G26" s="18" t="s">
        <v>20</v>
      </c>
      <c r="H26" s="33"/>
    </row>
    <row r="27" customFormat="false" ht="12" hidden="false" customHeight="true" outlineLevel="0" collapsed="false">
      <c r="B27" s="37"/>
      <c r="C27" s="24"/>
      <c r="D27" s="24"/>
      <c r="E27" s="24"/>
      <c r="F27" s="24"/>
      <c r="G27" s="28"/>
      <c r="H27" s="29"/>
    </row>
    <row r="28" customFormat="false" ht="12" hidden="false" customHeight="true" outlineLevel="0" collapsed="false">
      <c r="N28" s="30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16"/>
      <c r="AA28" s="16"/>
      <c r="AB28" s="16"/>
      <c r="AC28" s="16"/>
      <c r="AD28" s="17"/>
    </row>
    <row r="29" customFormat="false" ht="21.75" hidden="false" customHeight="true" outlineLevel="0" collapsed="false">
      <c r="N29" s="19"/>
      <c r="O29" s="38" t="s">
        <v>21</v>
      </c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3"/>
    </row>
    <row r="30" customFormat="false" ht="24.75" hidden="false" customHeight="true" outlineLevel="0" collapsed="false">
      <c r="N30" s="1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3"/>
    </row>
    <row r="31" customFormat="false" ht="16.5" hidden="false" customHeight="true" outlineLevel="0" collapsed="false">
      <c r="N31" s="19"/>
      <c r="O31" s="40" t="s">
        <v>22</v>
      </c>
      <c r="P31" s="41" t="s">
        <v>23</v>
      </c>
      <c r="Q31" s="18"/>
      <c r="R31" s="18"/>
      <c r="S31" s="18"/>
      <c r="T31" s="18"/>
      <c r="U31" s="18"/>
      <c r="V31" s="41" t="s">
        <v>23</v>
      </c>
      <c r="W31" s="42"/>
      <c r="X31" s="18"/>
      <c r="Y31" s="18"/>
      <c r="AB31" s="41" t="s">
        <v>23</v>
      </c>
      <c r="AC31" s="41" t="n">
        <f aca="false">(4 * POWER(PI(), 2)) / (SLOPE(G12:G16,C12:C16)*(9.8 + E23*E26/E24))</f>
        <v>1.1110833628726</v>
      </c>
      <c r="AD31" s="33"/>
    </row>
    <row r="32" customFormat="false" ht="27" hidden="false" customHeight="true" outlineLevel="0" collapsed="false">
      <c r="N32" s="19"/>
      <c r="O32" s="40"/>
      <c r="P32" s="41"/>
      <c r="Q32" s="24" t="s">
        <v>24</v>
      </c>
      <c r="R32" s="24"/>
      <c r="S32" s="24"/>
      <c r="T32" s="24"/>
      <c r="U32" s="24"/>
      <c r="V32" s="41"/>
      <c r="W32" s="43"/>
      <c r="X32" s="24" t="s">
        <v>24</v>
      </c>
      <c r="Y32" s="24"/>
      <c r="Z32" s="24"/>
      <c r="AA32" s="28"/>
      <c r="AB32" s="41"/>
      <c r="AC32" s="41"/>
      <c r="AD32" s="33"/>
    </row>
    <row r="33" customFormat="false" ht="6.75" hidden="false" customHeight="true" outlineLevel="0" collapsed="false">
      <c r="N33" s="19"/>
      <c r="O33" s="40"/>
      <c r="P33" s="41"/>
      <c r="Q33" s="18"/>
      <c r="R33" s="18"/>
      <c r="S33" s="18"/>
      <c r="T33" s="18"/>
      <c r="U33" s="18"/>
      <c r="V33" s="41"/>
      <c r="W33" s="42"/>
      <c r="X33" s="18"/>
      <c r="Y33" s="18"/>
      <c r="Z33" s="18"/>
      <c r="AB33" s="41"/>
      <c r="AC33" s="41"/>
      <c r="AD33" s="33"/>
    </row>
    <row r="34" customFormat="false" ht="23.25" hidden="false" customHeight="true" outlineLevel="0" collapsed="false">
      <c r="N34" s="19"/>
      <c r="O34" s="40"/>
      <c r="P34" s="41"/>
      <c r="Q34" s="44" t="s">
        <v>25</v>
      </c>
      <c r="R34" s="30"/>
      <c r="S34" s="41" t="s">
        <v>26</v>
      </c>
      <c r="T34" s="24" t="s">
        <v>27</v>
      </c>
      <c r="U34" s="45"/>
      <c r="V34" s="41"/>
      <c r="W34" s="23" t="str">
        <f aca="false">_xlfn.CONCAT(TEXT(SLOPE(G12:G16,C12:C16), "0.000"), " s^2/m")</f>
        <v>0.015 s^2/m</v>
      </c>
      <c r="X34" s="30"/>
      <c r="Y34" s="41" t="s">
        <v>28</v>
      </c>
      <c r="Z34" s="24" t="str">
        <f aca="false">_xlfn.CONCAT("(", E23, "pa )(", TEXT(E26/1000, "0.0000"), "m^2 )")</f>
        <v>(101300pa )(0.0000m^2 )</v>
      </c>
      <c r="AA34" s="45"/>
      <c r="AB34" s="41"/>
      <c r="AC34" s="41"/>
      <c r="AD34" s="33"/>
    </row>
    <row r="35" customFormat="false" ht="23.25" hidden="false" customHeight="true" outlineLevel="0" collapsed="false">
      <c r="N35" s="19"/>
      <c r="O35" s="40"/>
      <c r="P35" s="41"/>
      <c r="Q35" s="44"/>
      <c r="R35" s="37"/>
      <c r="S35" s="41"/>
      <c r="T35" s="18" t="s">
        <v>15</v>
      </c>
      <c r="U35" s="45"/>
      <c r="V35" s="41"/>
      <c r="W35" s="23"/>
      <c r="X35" s="37"/>
      <c r="Y35" s="41"/>
      <c r="Z35" s="18" t="str">
        <f aca="false">_xlfn.CONCAT(E24, " kg")</f>
        <v>0.035 kg</v>
      </c>
      <c r="AA35" s="45"/>
      <c r="AB35" s="41"/>
      <c r="AC35" s="41"/>
      <c r="AD35" s="33"/>
    </row>
    <row r="36" customFormat="false" ht="12" hidden="false" customHeight="true" outlineLevel="0" collapsed="false">
      <c r="N36" s="37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8"/>
      <c r="AA36" s="28"/>
      <c r="AB36" s="28"/>
      <c r="AC36" s="28"/>
      <c r="AD36" s="29"/>
    </row>
    <row r="37" customFormat="false" ht="10.5" hidden="false" customHeight="true" outlineLevel="0" collapsed="false"/>
    <row r="38" customFormat="false" ht="9.75" hidden="false" customHeight="true" outlineLevel="0" collapsed="false">
      <c r="B38" s="1"/>
      <c r="C38" s="16"/>
      <c r="D38" s="16"/>
      <c r="E38" s="16"/>
      <c r="F38" s="16"/>
      <c r="G38" s="16"/>
      <c r="H38" s="16"/>
      <c r="I38" s="16"/>
      <c r="J38" s="16"/>
      <c r="K38" s="16"/>
      <c r="L38" s="17"/>
    </row>
    <row r="39" s="18" customFormat="true" ht="24.75" hidden="false" customHeight="true" outlineLevel="0" collapsed="false">
      <c r="B39" s="19"/>
      <c r="C39" s="46" t="s">
        <v>29</v>
      </c>
      <c r="D39" s="46"/>
      <c r="E39" s="5" t="n">
        <v>40</v>
      </c>
      <c r="F39" s="8" t="s">
        <v>30</v>
      </c>
      <c r="G39" s="8"/>
      <c r="H39" s="22"/>
      <c r="I39" s="22"/>
      <c r="J39" s="22"/>
      <c r="K39" s="22"/>
      <c r="L39" s="23"/>
    </row>
    <row r="40" s="18" customFormat="true" ht="9.75" hidden="false" customHeight="true" outlineLevel="0" collapsed="false">
      <c r="B40" s="19"/>
      <c r="L40" s="23"/>
    </row>
    <row r="41" s="18" customFormat="true" ht="28.5" hidden="false" customHeight="true" outlineLevel="0" collapsed="false">
      <c r="B41" s="19"/>
      <c r="C41" s="24" t="s">
        <v>31</v>
      </c>
      <c r="E41" s="24" t="s">
        <v>32</v>
      </c>
      <c r="G41" s="24" t="s">
        <v>33</v>
      </c>
      <c r="I41" s="24" t="s">
        <v>34</v>
      </c>
      <c r="K41" s="24" t="s">
        <v>35</v>
      </c>
      <c r="L41" s="23"/>
    </row>
    <row r="42" s="18" customFormat="true" ht="23.25" hidden="false" customHeight="true" outlineLevel="0" collapsed="false">
      <c r="B42" s="19"/>
      <c r="C42" s="47" t="n">
        <v>1</v>
      </c>
      <c r="E42" s="26" t="n">
        <v>3.932</v>
      </c>
      <c r="F42" s="26"/>
      <c r="G42" s="26" t="n">
        <v>4.008</v>
      </c>
      <c r="H42" s="25"/>
      <c r="I42" s="47" t="n">
        <v>3</v>
      </c>
      <c r="J42" s="25"/>
      <c r="K42" s="34" t="n">
        <f aca="false">(G42-E42)/I42 * 1000</f>
        <v>25.3333333333334</v>
      </c>
      <c r="L42" s="23"/>
    </row>
    <row r="43" s="18" customFormat="true" ht="23.25" hidden="false" customHeight="true" outlineLevel="0" collapsed="false">
      <c r="B43" s="19"/>
      <c r="C43" s="47" t="n">
        <v>2</v>
      </c>
      <c r="E43" s="26" t="n">
        <v>4.718</v>
      </c>
      <c r="F43" s="26"/>
      <c r="G43" s="26" t="n">
        <v>4.795</v>
      </c>
      <c r="H43" s="25"/>
      <c r="I43" s="47" t="n">
        <v>3</v>
      </c>
      <c r="J43" s="25"/>
      <c r="K43" s="26" t="n">
        <f aca="false">(G43-E43)/I43 * 1000</f>
        <v>25.6666666666667</v>
      </c>
      <c r="L43" s="23"/>
    </row>
    <row r="44" s="18" customFormat="true" ht="23.25" hidden="false" customHeight="true" outlineLevel="0" collapsed="false">
      <c r="B44" s="19"/>
      <c r="C44" s="47" t="n">
        <v>3</v>
      </c>
      <c r="E44" s="26" t="n">
        <v>5.511</v>
      </c>
      <c r="F44" s="26"/>
      <c r="G44" s="26" t="n">
        <v>5.588</v>
      </c>
      <c r="H44" s="25"/>
      <c r="I44" s="47" t="n">
        <v>3</v>
      </c>
      <c r="J44" s="25"/>
      <c r="K44" s="26" t="n">
        <f aca="false">(G44-E44)/I44 * 1000</f>
        <v>25.6666666666667</v>
      </c>
      <c r="L44" s="23"/>
    </row>
    <row r="45" s="18" customFormat="true" ht="23.25" hidden="false" customHeight="true" outlineLevel="0" collapsed="false">
      <c r="B45" s="19"/>
      <c r="C45" s="47" t="n">
        <v>4</v>
      </c>
      <c r="E45" s="26" t="n">
        <v>6.289</v>
      </c>
      <c r="F45" s="26"/>
      <c r="G45" s="26" t="n">
        <v>6.391</v>
      </c>
      <c r="H45" s="25"/>
      <c r="I45" s="47" t="n">
        <v>4</v>
      </c>
      <c r="J45" s="25"/>
      <c r="K45" s="26" t="n">
        <f aca="false">(G45-E45)/I45 * 1000</f>
        <v>25.5000000000001</v>
      </c>
      <c r="L45" s="23"/>
    </row>
    <row r="46" s="18" customFormat="true" ht="23.25" hidden="false" customHeight="true" outlineLevel="0" collapsed="false">
      <c r="B46" s="19"/>
      <c r="C46" s="25"/>
      <c r="E46" s="25"/>
      <c r="F46" s="25"/>
      <c r="G46" s="25"/>
      <c r="H46" s="25"/>
      <c r="I46" s="48" t="s">
        <v>36</v>
      </c>
      <c r="J46" s="49"/>
      <c r="K46" s="50" t="n">
        <f aca="false">AVERAGE(K42:K45)</f>
        <v>25.5416666666667</v>
      </c>
      <c r="L46" s="23"/>
    </row>
    <row r="47" customFormat="false" ht="9.75" hidden="false" customHeight="true" outlineLevel="0" collapsed="false">
      <c r="B47" s="10"/>
      <c r="C47" s="28"/>
      <c r="D47" s="28"/>
      <c r="E47" s="28"/>
      <c r="F47" s="28"/>
      <c r="G47" s="28"/>
      <c r="H47" s="28"/>
      <c r="I47" s="28"/>
      <c r="J47" s="28"/>
      <c r="K47" s="28"/>
      <c r="L47" s="29"/>
    </row>
    <row r="49" customFormat="false" ht="9.75" hidden="false" customHeight="true" outlineLevel="0" collapsed="false">
      <c r="B49" s="1"/>
      <c r="C49" s="16"/>
      <c r="D49" s="16"/>
      <c r="E49" s="16"/>
      <c r="F49" s="16"/>
      <c r="G49" s="16"/>
      <c r="H49" s="16"/>
      <c r="I49" s="16"/>
      <c r="J49" s="16"/>
      <c r="K49" s="16"/>
      <c r="L49" s="17"/>
    </row>
    <row r="50" s="18" customFormat="true" ht="24.75" hidden="false" customHeight="true" outlineLevel="0" collapsed="false">
      <c r="B50" s="19"/>
      <c r="C50" s="46" t="s">
        <v>29</v>
      </c>
      <c r="D50" s="46"/>
      <c r="E50" s="5" t="n">
        <v>50</v>
      </c>
      <c r="F50" s="8" t="s">
        <v>30</v>
      </c>
      <c r="G50" s="8"/>
      <c r="H50" s="22"/>
      <c r="I50" s="22"/>
      <c r="J50" s="22"/>
      <c r="K50" s="22"/>
      <c r="L50" s="23"/>
    </row>
    <row r="51" s="18" customFormat="true" ht="9.75" hidden="false" customHeight="true" outlineLevel="0" collapsed="false">
      <c r="B51" s="19"/>
      <c r="L51" s="23"/>
    </row>
    <row r="52" s="18" customFormat="true" ht="28.5" hidden="false" customHeight="true" outlineLevel="0" collapsed="false">
      <c r="B52" s="19"/>
      <c r="C52" s="24" t="s">
        <v>31</v>
      </c>
      <c r="E52" s="24" t="s">
        <v>32</v>
      </c>
      <c r="G52" s="24" t="s">
        <v>33</v>
      </c>
      <c r="I52" s="24" t="s">
        <v>34</v>
      </c>
      <c r="K52" s="24" t="s">
        <v>35</v>
      </c>
      <c r="L52" s="23"/>
    </row>
    <row r="53" s="18" customFormat="true" ht="23.25" hidden="false" customHeight="true" outlineLevel="0" collapsed="false">
      <c r="B53" s="19"/>
      <c r="C53" s="47" t="n">
        <v>1</v>
      </c>
      <c r="E53" s="26" t="n">
        <v>4.797</v>
      </c>
      <c r="F53" s="26"/>
      <c r="G53" s="26" t="n">
        <v>4.992</v>
      </c>
      <c r="H53" s="25"/>
      <c r="I53" s="25" t="n">
        <v>7</v>
      </c>
      <c r="J53" s="25"/>
      <c r="K53" s="26" t="n">
        <f aca="false">(G53-E53)/I53 * 1000</f>
        <v>27.8571428571429</v>
      </c>
      <c r="L53" s="23"/>
    </row>
    <row r="54" s="18" customFormat="true" ht="23.25" hidden="false" customHeight="true" outlineLevel="0" collapsed="false">
      <c r="B54" s="19"/>
      <c r="C54" s="47" t="n">
        <v>2</v>
      </c>
      <c r="E54" s="26" t="n">
        <v>6.433</v>
      </c>
      <c r="F54" s="26"/>
      <c r="G54" s="26" t="n">
        <v>6.683</v>
      </c>
      <c r="H54" s="25"/>
      <c r="I54" s="25" t="n">
        <v>9</v>
      </c>
      <c r="J54" s="25"/>
      <c r="K54" s="26" t="n">
        <f aca="false">(G54-E54)/I54 * 1000</f>
        <v>27.7777777777778</v>
      </c>
      <c r="L54" s="23"/>
    </row>
    <row r="55" s="18" customFormat="true" ht="23.25" hidden="false" customHeight="true" outlineLevel="0" collapsed="false">
      <c r="B55" s="19"/>
      <c r="C55" s="47" t="n">
        <v>3</v>
      </c>
      <c r="E55" s="26" t="n">
        <v>8.237</v>
      </c>
      <c r="F55" s="26"/>
      <c r="G55" s="26" t="n">
        <v>8.405</v>
      </c>
      <c r="H55" s="25"/>
      <c r="I55" s="25" t="n">
        <v>6</v>
      </c>
      <c r="J55" s="25"/>
      <c r="K55" s="26" t="n">
        <f aca="false">(G55-E55)/I55 * 1000</f>
        <v>27.9999999999999</v>
      </c>
      <c r="L55" s="23"/>
    </row>
    <row r="56" s="18" customFormat="true" ht="23.25" hidden="false" customHeight="true" outlineLevel="0" collapsed="false">
      <c r="B56" s="19"/>
      <c r="C56" s="47" t="n">
        <v>4</v>
      </c>
      <c r="E56" s="26" t="n">
        <v>10.024</v>
      </c>
      <c r="F56" s="26"/>
      <c r="G56" s="26" t="n">
        <v>10.276</v>
      </c>
      <c r="H56" s="25"/>
      <c r="I56" s="25" t="n">
        <v>9</v>
      </c>
      <c r="J56" s="25"/>
      <c r="K56" s="26" t="n">
        <f aca="false">(G56-E56)/I56 * 1000</f>
        <v>28.0000000000001</v>
      </c>
      <c r="L56" s="23"/>
    </row>
    <row r="57" s="18" customFormat="true" ht="23.25" hidden="false" customHeight="true" outlineLevel="0" collapsed="false">
      <c r="B57" s="19"/>
      <c r="C57" s="25"/>
      <c r="E57" s="25"/>
      <c r="F57" s="25"/>
      <c r="G57" s="25"/>
      <c r="H57" s="25"/>
      <c r="I57" s="48" t="s">
        <v>36</v>
      </c>
      <c r="J57" s="49"/>
      <c r="K57" s="50" t="n">
        <f aca="false">AVERAGE(K53:K56)</f>
        <v>27.9087301587302</v>
      </c>
      <c r="L57" s="23"/>
    </row>
    <row r="58" customFormat="false" ht="9.75" hidden="false" customHeight="true" outlineLevel="0" collapsed="false">
      <c r="B58" s="10"/>
      <c r="C58" s="28"/>
      <c r="D58" s="28"/>
      <c r="E58" s="28"/>
      <c r="F58" s="28"/>
      <c r="G58" s="28"/>
      <c r="H58" s="28"/>
      <c r="I58" s="28"/>
      <c r="J58" s="28"/>
      <c r="K58" s="28"/>
      <c r="L58" s="29"/>
    </row>
    <row r="60" customFormat="false" ht="9.75" hidden="false" customHeight="true" outlineLevel="0" collapsed="false">
      <c r="B60" s="1"/>
      <c r="C60" s="16"/>
      <c r="D60" s="16"/>
      <c r="E60" s="16"/>
      <c r="F60" s="16"/>
      <c r="G60" s="16"/>
      <c r="H60" s="16"/>
      <c r="I60" s="16"/>
      <c r="J60" s="16"/>
      <c r="K60" s="16"/>
      <c r="L60" s="17"/>
    </row>
    <row r="61" s="18" customFormat="true" ht="24.75" hidden="false" customHeight="true" outlineLevel="0" collapsed="false">
      <c r="B61" s="19"/>
      <c r="C61" s="46" t="s">
        <v>29</v>
      </c>
      <c r="D61" s="46"/>
      <c r="E61" s="5" t="n">
        <v>60</v>
      </c>
      <c r="F61" s="8" t="s">
        <v>30</v>
      </c>
      <c r="G61" s="8"/>
      <c r="H61" s="22"/>
      <c r="I61" s="22"/>
      <c r="J61" s="22"/>
      <c r="K61" s="22"/>
      <c r="L61" s="23"/>
    </row>
    <row r="62" s="18" customFormat="true" ht="9.75" hidden="false" customHeight="true" outlineLevel="0" collapsed="false">
      <c r="B62" s="19"/>
      <c r="L62" s="23"/>
    </row>
    <row r="63" s="18" customFormat="true" ht="28.5" hidden="false" customHeight="true" outlineLevel="0" collapsed="false">
      <c r="B63" s="19"/>
      <c r="C63" s="24" t="s">
        <v>31</v>
      </c>
      <c r="E63" s="24" t="s">
        <v>32</v>
      </c>
      <c r="G63" s="24" t="s">
        <v>33</v>
      </c>
      <c r="I63" s="24" t="s">
        <v>34</v>
      </c>
      <c r="K63" s="24" t="s">
        <v>35</v>
      </c>
      <c r="L63" s="23"/>
    </row>
    <row r="64" s="18" customFormat="true" ht="23.25" hidden="false" customHeight="true" outlineLevel="0" collapsed="false">
      <c r="B64" s="19"/>
      <c r="C64" s="47" t="n">
        <v>1</v>
      </c>
      <c r="E64" s="26" t="n">
        <v>13.38</v>
      </c>
      <c r="F64" s="26"/>
      <c r="G64" s="26" t="n">
        <v>13.562</v>
      </c>
      <c r="H64" s="25"/>
      <c r="I64" s="25" t="n">
        <v>6</v>
      </c>
      <c r="J64" s="25"/>
      <c r="K64" s="26" t="n">
        <f aca="false">(G64-E64)/I64 * 1000</f>
        <v>30.3333333333331</v>
      </c>
      <c r="L64" s="23"/>
    </row>
    <row r="65" s="18" customFormat="true" ht="23.25" hidden="false" customHeight="true" outlineLevel="0" collapsed="false">
      <c r="B65" s="19"/>
      <c r="C65" s="47" t="n">
        <v>2</v>
      </c>
      <c r="E65" s="26" t="n">
        <v>15.226</v>
      </c>
      <c r="F65" s="26"/>
      <c r="G65" s="26" t="n">
        <v>15.435</v>
      </c>
      <c r="H65" s="25"/>
      <c r="I65" s="25" t="n">
        <v>7</v>
      </c>
      <c r="J65" s="25"/>
      <c r="K65" s="26" t="n">
        <f aca="false">(G65-E65)/I65 * 1000</f>
        <v>29.8571428571428</v>
      </c>
      <c r="L65" s="23"/>
    </row>
    <row r="66" s="18" customFormat="true" ht="23.25" hidden="false" customHeight="true" outlineLevel="0" collapsed="false">
      <c r="B66" s="19"/>
      <c r="C66" s="47" t="n">
        <v>3</v>
      </c>
      <c r="E66" s="26" t="n">
        <v>7.986</v>
      </c>
      <c r="F66" s="26"/>
      <c r="G66" s="26" t="n">
        <v>8.229</v>
      </c>
      <c r="H66" s="25"/>
      <c r="I66" s="25" t="n">
        <v>8</v>
      </c>
      <c r="J66" s="25"/>
      <c r="K66" s="26" t="n">
        <f aca="false">(G66-E66)/I66 * 1000</f>
        <v>30.3749999999999</v>
      </c>
      <c r="L66" s="23"/>
    </row>
    <row r="67" s="18" customFormat="true" ht="23.25" hidden="false" customHeight="true" outlineLevel="0" collapsed="false">
      <c r="B67" s="19"/>
      <c r="C67" s="47" t="n">
        <v>4</v>
      </c>
      <c r="E67" s="26" t="n">
        <v>9.495</v>
      </c>
      <c r="F67" s="26"/>
      <c r="G67" s="26" t="n">
        <v>9.675</v>
      </c>
      <c r="H67" s="25"/>
      <c r="I67" s="25" t="n">
        <v>6</v>
      </c>
      <c r="J67" s="25"/>
      <c r="K67" s="26" t="n">
        <f aca="false">(G67-E67)/I67 * 1000</f>
        <v>30.0000000000003</v>
      </c>
      <c r="L67" s="23"/>
    </row>
    <row r="68" s="18" customFormat="true" ht="23.25" hidden="false" customHeight="true" outlineLevel="0" collapsed="false">
      <c r="B68" s="19"/>
      <c r="C68" s="25"/>
      <c r="E68" s="25"/>
      <c r="F68" s="25"/>
      <c r="G68" s="25"/>
      <c r="H68" s="25"/>
      <c r="I68" s="48" t="s">
        <v>36</v>
      </c>
      <c r="J68" s="49"/>
      <c r="K68" s="50" t="n">
        <f aca="false">AVERAGE(K64:K67)</f>
        <v>30.141369047619</v>
      </c>
      <c r="L68" s="23"/>
    </row>
    <row r="69" customFormat="false" ht="9.75" hidden="false" customHeight="true" outlineLevel="0" collapsed="false">
      <c r="B69" s="10"/>
      <c r="C69" s="28"/>
      <c r="D69" s="28"/>
      <c r="E69" s="28"/>
      <c r="F69" s="28"/>
      <c r="G69" s="28"/>
      <c r="H69" s="28"/>
      <c r="I69" s="28"/>
      <c r="J69" s="28"/>
      <c r="K69" s="28"/>
      <c r="L69" s="29"/>
    </row>
    <row r="71" customFormat="false" ht="9.75" hidden="false" customHeight="true" outlineLevel="0" collapsed="false">
      <c r="B71" s="1"/>
      <c r="C71" s="16"/>
      <c r="D71" s="16"/>
      <c r="E71" s="16"/>
      <c r="F71" s="16"/>
      <c r="G71" s="16"/>
      <c r="H71" s="16"/>
      <c r="I71" s="16"/>
      <c r="J71" s="16"/>
      <c r="K71" s="16"/>
      <c r="L71" s="17"/>
    </row>
    <row r="72" s="18" customFormat="true" ht="24.75" hidden="false" customHeight="true" outlineLevel="0" collapsed="false">
      <c r="B72" s="19"/>
      <c r="C72" s="46" t="s">
        <v>29</v>
      </c>
      <c r="D72" s="46"/>
      <c r="E72" s="5" t="n">
        <v>70</v>
      </c>
      <c r="F72" s="8" t="s">
        <v>30</v>
      </c>
      <c r="G72" s="8"/>
      <c r="H72" s="22"/>
      <c r="I72" s="22"/>
      <c r="J72" s="22"/>
      <c r="K72" s="22"/>
      <c r="L72" s="23"/>
    </row>
    <row r="73" s="18" customFormat="true" ht="9.75" hidden="false" customHeight="true" outlineLevel="0" collapsed="false">
      <c r="B73" s="19"/>
      <c r="L73" s="23"/>
    </row>
    <row r="74" s="18" customFormat="true" ht="28.5" hidden="false" customHeight="true" outlineLevel="0" collapsed="false">
      <c r="B74" s="19"/>
      <c r="C74" s="24" t="s">
        <v>31</v>
      </c>
      <c r="E74" s="24" t="s">
        <v>32</v>
      </c>
      <c r="G74" s="24" t="s">
        <v>33</v>
      </c>
      <c r="I74" s="24" t="s">
        <v>34</v>
      </c>
      <c r="K74" s="24" t="s">
        <v>35</v>
      </c>
      <c r="L74" s="23"/>
    </row>
    <row r="75" s="18" customFormat="true" ht="23.25" hidden="false" customHeight="true" outlineLevel="0" collapsed="false">
      <c r="B75" s="19"/>
      <c r="C75" s="47" t="n">
        <v>1</v>
      </c>
      <c r="E75" s="26" t="n">
        <v>1.529</v>
      </c>
      <c r="F75" s="26"/>
      <c r="G75" s="26" t="n">
        <v>1.661</v>
      </c>
      <c r="H75" s="25"/>
      <c r="I75" s="25" t="n">
        <v>4</v>
      </c>
      <c r="J75" s="25"/>
      <c r="K75" s="26" t="n">
        <f aca="false">(G75-E75)/I75 * 1000</f>
        <v>33</v>
      </c>
      <c r="L75" s="23"/>
    </row>
    <row r="76" s="18" customFormat="true" ht="23.25" hidden="false" customHeight="true" outlineLevel="0" collapsed="false">
      <c r="B76" s="19"/>
      <c r="C76" s="47" t="n">
        <v>2</v>
      </c>
      <c r="E76" s="26" t="n">
        <v>2.764</v>
      </c>
      <c r="F76" s="26"/>
      <c r="G76" s="26" t="n">
        <v>2.895</v>
      </c>
      <c r="H76" s="25"/>
      <c r="I76" s="25" t="n">
        <v>4</v>
      </c>
      <c r="J76" s="25"/>
      <c r="K76" s="26" t="n">
        <f aca="false">(G76-E76)/I76 * 1000</f>
        <v>32.7500000000001</v>
      </c>
      <c r="L76" s="23"/>
    </row>
    <row r="77" s="18" customFormat="true" ht="23.25" hidden="false" customHeight="true" outlineLevel="0" collapsed="false">
      <c r="B77" s="19"/>
      <c r="C77" s="47" t="n">
        <v>3</v>
      </c>
      <c r="E77" s="26" t="n">
        <v>3.956</v>
      </c>
      <c r="F77" s="26"/>
      <c r="G77" s="26" t="n">
        <v>4.054</v>
      </c>
      <c r="H77" s="25"/>
      <c r="I77" s="25" t="n">
        <v>3</v>
      </c>
      <c r="J77" s="25"/>
      <c r="K77" s="26" t="n">
        <f aca="false">(G77-E77)/I77 * 1000</f>
        <v>32.6666666666668</v>
      </c>
      <c r="L77" s="23"/>
    </row>
    <row r="78" s="18" customFormat="true" ht="23.25" hidden="false" customHeight="true" outlineLevel="0" collapsed="false">
      <c r="B78" s="19"/>
      <c r="C78" s="47" t="n">
        <v>4</v>
      </c>
      <c r="E78" s="26" t="n">
        <v>5.129</v>
      </c>
      <c r="F78" s="26"/>
      <c r="G78" s="26" t="n">
        <v>5.261</v>
      </c>
      <c r="H78" s="25"/>
      <c r="I78" s="25" t="n">
        <v>4</v>
      </c>
      <c r="J78" s="25"/>
      <c r="K78" s="26" t="n">
        <f aca="false">(G78-E78)/I78 * 1000</f>
        <v>33.0000000000001</v>
      </c>
      <c r="L78" s="23"/>
    </row>
    <row r="79" s="18" customFormat="true" ht="23.25" hidden="false" customHeight="true" outlineLevel="0" collapsed="false">
      <c r="B79" s="19"/>
      <c r="C79" s="25"/>
      <c r="E79" s="25"/>
      <c r="F79" s="25"/>
      <c r="G79" s="25"/>
      <c r="H79" s="25"/>
      <c r="I79" s="48" t="s">
        <v>36</v>
      </c>
      <c r="J79" s="49"/>
      <c r="K79" s="50" t="n">
        <f aca="false">AVERAGE(K75:K78)</f>
        <v>32.8541666666668</v>
      </c>
      <c r="L79" s="23"/>
    </row>
    <row r="80" customFormat="false" ht="9.75" hidden="false" customHeight="true" outlineLevel="0" collapsed="false">
      <c r="B80" s="10"/>
      <c r="C80" s="28"/>
      <c r="D80" s="28"/>
      <c r="E80" s="28"/>
      <c r="F80" s="28"/>
      <c r="G80" s="28"/>
      <c r="H80" s="28"/>
      <c r="I80" s="28"/>
      <c r="J80" s="28"/>
      <c r="K80" s="28"/>
      <c r="L80" s="29"/>
    </row>
    <row r="82" customFormat="false" ht="9.75" hidden="false" customHeight="true" outlineLevel="0" collapsed="false">
      <c r="B82" s="1"/>
      <c r="C82" s="16"/>
      <c r="D82" s="16"/>
      <c r="E82" s="16"/>
      <c r="F82" s="16"/>
      <c r="G82" s="16"/>
      <c r="H82" s="16"/>
      <c r="I82" s="16"/>
      <c r="J82" s="16"/>
      <c r="K82" s="16"/>
      <c r="L82" s="17"/>
    </row>
    <row r="83" s="18" customFormat="true" ht="24.75" hidden="false" customHeight="true" outlineLevel="0" collapsed="false">
      <c r="B83" s="19"/>
      <c r="C83" s="46" t="s">
        <v>29</v>
      </c>
      <c r="D83" s="46"/>
      <c r="E83" s="5" t="n">
        <v>80</v>
      </c>
      <c r="F83" s="8" t="s">
        <v>30</v>
      </c>
      <c r="G83" s="8"/>
      <c r="H83" s="22"/>
      <c r="I83" s="22"/>
      <c r="J83" s="22"/>
      <c r="K83" s="22"/>
      <c r="L83" s="23"/>
    </row>
    <row r="84" s="18" customFormat="true" ht="9.75" hidden="false" customHeight="true" outlineLevel="0" collapsed="false">
      <c r="B84" s="19"/>
      <c r="L84" s="23"/>
    </row>
    <row r="85" s="18" customFormat="true" ht="28.5" hidden="false" customHeight="true" outlineLevel="0" collapsed="false">
      <c r="B85" s="19"/>
      <c r="C85" s="24" t="s">
        <v>31</v>
      </c>
      <c r="E85" s="24" t="s">
        <v>32</v>
      </c>
      <c r="G85" s="24" t="s">
        <v>33</v>
      </c>
      <c r="I85" s="24" t="s">
        <v>34</v>
      </c>
      <c r="K85" s="24" t="s">
        <v>35</v>
      </c>
      <c r="L85" s="23"/>
    </row>
    <row r="86" s="18" customFormat="true" ht="23.25" hidden="false" customHeight="true" outlineLevel="0" collapsed="false">
      <c r="B86" s="19"/>
      <c r="C86" s="47" t="n">
        <v>1</v>
      </c>
      <c r="E86" s="26" t="n">
        <v>6.069</v>
      </c>
      <c r="F86" s="26"/>
      <c r="G86" s="26" t="n">
        <v>6.176</v>
      </c>
      <c r="H86" s="25"/>
      <c r="I86" s="25" t="n">
        <v>3</v>
      </c>
      <c r="J86" s="25"/>
      <c r="K86" s="26" t="n">
        <f aca="false">(G86-E86)/I86 * 1000</f>
        <v>35.6666666666667</v>
      </c>
      <c r="L86" s="23"/>
    </row>
    <row r="87" s="18" customFormat="true" ht="23.25" hidden="false" customHeight="true" outlineLevel="0" collapsed="false">
      <c r="B87" s="19"/>
      <c r="C87" s="47" t="n">
        <v>2</v>
      </c>
      <c r="E87" s="26" t="n">
        <v>7.187</v>
      </c>
      <c r="F87" s="26"/>
      <c r="G87" s="26" t="n">
        <v>7.293</v>
      </c>
      <c r="H87" s="25"/>
      <c r="I87" s="25" t="n">
        <v>3</v>
      </c>
      <c r="J87" s="25"/>
      <c r="K87" s="26" t="n">
        <f aca="false">(G87-E87)/I87 * 1000</f>
        <v>35.3333333333333</v>
      </c>
      <c r="L87" s="23"/>
    </row>
    <row r="88" s="18" customFormat="true" ht="23.25" hidden="false" customHeight="true" outlineLevel="0" collapsed="false">
      <c r="B88" s="19"/>
      <c r="C88" s="47" t="n">
        <v>3</v>
      </c>
      <c r="E88" s="26" t="n">
        <v>11.278</v>
      </c>
      <c r="F88" s="26"/>
      <c r="G88" s="26" t="n">
        <v>11.452</v>
      </c>
      <c r="H88" s="25"/>
      <c r="I88" s="25" t="n">
        <v>5</v>
      </c>
      <c r="J88" s="25"/>
      <c r="K88" s="26" t="n">
        <f aca="false">(G88-E88)/I88 * 1000</f>
        <v>34.7999999999999</v>
      </c>
      <c r="L88" s="23"/>
    </row>
    <row r="89" s="18" customFormat="true" ht="23.25" hidden="false" customHeight="true" outlineLevel="0" collapsed="false">
      <c r="B89" s="19"/>
      <c r="C89" s="47" t="n">
        <v>4</v>
      </c>
      <c r="E89" s="26" t="n">
        <v>3.778</v>
      </c>
      <c r="F89" s="26"/>
      <c r="G89" s="26" t="n">
        <v>3.883</v>
      </c>
      <c r="H89" s="25"/>
      <c r="I89" s="25" t="n">
        <v>3</v>
      </c>
      <c r="J89" s="25"/>
      <c r="K89" s="26" t="n">
        <f aca="false">(G89-E89)/I89 * 1000</f>
        <v>35</v>
      </c>
      <c r="L89" s="23"/>
    </row>
    <row r="90" s="18" customFormat="true" ht="23.25" hidden="false" customHeight="true" outlineLevel="0" collapsed="false">
      <c r="B90" s="19"/>
      <c r="C90" s="25"/>
      <c r="E90" s="25"/>
      <c r="F90" s="25"/>
      <c r="G90" s="25"/>
      <c r="H90" s="25"/>
      <c r="I90" s="48" t="s">
        <v>36</v>
      </c>
      <c r="J90" s="49"/>
      <c r="K90" s="50" t="n">
        <f aca="false">AVERAGE(K86:K89)</f>
        <v>35.2</v>
      </c>
      <c r="L90" s="23"/>
    </row>
    <row r="91" customFormat="false" ht="9.75" hidden="false" customHeight="true" outlineLevel="0" collapsed="false">
      <c r="B91" s="10"/>
      <c r="C91" s="28"/>
      <c r="D91" s="28"/>
      <c r="E91" s="28"/>
      <c r="F91" s="28"/>
      <c r="G91" s="28"/>
      <c r="H91" s="28"/>
      <c r="I91" s="28"/>
      <c r="J91" s="28"/>
      <c r="K91" s="28"/>
      <c r="L91" s="29"/>
    </row>
  </sheetData>
  <mergeCells count="34">
    <mergeCell ref="C3:D3"/>
    <mergeCell ref="E3:K3"/>
    <mergeCell ref="C4:D4"/>
    <mergeCell ref="E4:K4"/>
    <mergeCell ref="C5:D5"/>
    <mergeCell ref="E5:H5"/>
    <mergeCell ref="I5:J5"/>
    <mergeCell ref="C9:G9"/>
    <mergeCell ref="C20:G20"/>
    <mergeCell ref="O29:AC29"/>
    <mergeCell ref="O30:AC30"/>
    <mergeCell ref="O31:O35"/>
    <mergeCell ref="P31:P35"/>
    <mergeCell ref="V31:V35"/>
    <mergeCell ref="AB31:AB35"/>
    <mergeCell ref="AC31:AC35"/>
    <mergeCell ref="Q32:T32"/>
    <mergeCell ref="X32:Z32"/>
    <mergeCell ref="Q34:Q35"/>
    <mergeCell ref="S34:S35"/>
    <mergeCell ref="U34:U35"/>
    <mergeCell ref="W34:W35"/>
    <mergeCell ref="Y34:Y35"/>
    <mergeCell ref="AA34:AA35"/>
    <mergeCell ref="C39:D39"/>
    <mergeCell ref="F39:G39"/>
    <mergeCell ref="C50:D50"/>
    <mergeCell ref="F50:G50"/>
    <mergeCell ref="C61:D61"/>
    <mergeCell ref="F61:G61"/>
    <mergeCell ref="C72:D72"/>
    <mergeCell ref="F72:G72"/>
    <mergeCell ref="C83:D83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LibreOffice/25.2.5.2$Linux_AARCH64 LibreOffice_project/520$Build-2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2016-03-02T01:02:48Z</dcterms:created>
  <dc:creator>Ngoc Tran</dc:creator>
  <dc:description/>
  <dc:language>en-US</dc:language>
  <cp:lastModifiedBy/>
  <dcterms:modified xsi:type="dcterms:W3CDTF">2025-10-22T17:00:16Z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